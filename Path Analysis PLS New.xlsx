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Selesai\Project A6596 (SmartPLS 4)\"/>
    </mc:Choice>
  </mc:AlternateContent>
  <xr:revisionPtr revIDLastSave="0" documentId="13_ncr:1_{9398EDC3-60EC-420B-BB91-67BE1C52B51B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Navigation" sheetId="1" r:id="rId1"/>
    <sheet name="Complete" sheetId="2" r:id="rId2"/>
    <sheet name="Complete Char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3" l="1"/>
  <c r="B3" i="2"/>
  <c r="C33" i="1"/>
  <c r="C32" i="1"/>
  <c r="C31" i="1"/>
  <c r="C30" i="1"/>
  <c r="C29" i="1"/>
  <c r="C28" i="1"/>
  <c r="C25" i="1"/>
  <c r="C22" i="1"/>
  <c r="C21" i="1"/>
  <c r="C20" i="1"/>
  <c r="C19" i="1"/>
  <c r="C18" i="1"/>
  <c r="C17" i="1"/>
  <c r="C16" i="1"/>
  <c r="C13" i="1"/>
  <c r="C12" i="1"/>
  <c r="C11" i="1"/>
  <c r="C10" i="1"/>
  <c r="C9" i="1"/>
  <c r="C8" i="1"/>
  <c r="C7" i="1"/>
</calcChain>
</file>

<file path=xl/sharedStrings.xml><?xml version="1.0" encoding="utf-8"?>
<sst xmlns="http://schemas.openxmlformats.org/spreadsheetml/2006/main" count="1003" uniqueCount="164">
  <si>
    <t>SmartPLS Report</t>
  </si>
  <si>
    <t>Please cite the use of SmartPLS: Ringle, C. M., Wende, S., and Becker, J.-M. 2015. "SmartPLS 3." Boenningstedt: SmartPLS GmbH, http://www.smartpls.com.</t>
  </si>
  <si>
    <t>Final Results</t>
  </si>
  <si>
    <t>Path Coefficients</t>
  </si>
  <si>
    <t/>
  </si>
  <si>
    <t>Belanja Daerah</t>
  </si>
  <si>
    <t>Indeks Pembangunan Manusia</t>
  </si>
  <si>
    <t>Pendapatan Asli Daerah</t>
  </si>
  <si>
    <t>Indirect Effects</t>
  </si>
  <si>
    <t>Total Indirect Effects</t>
  </si>
  <si>
    <t>Specific Indirect Effects</t>
  </si>
  <si>
    <t>Pendapatan Asli Daerah -&gt; Belanja Daerah -&gt; Indeks Pembangunan Manusia</t>
  </si>
  <si>
    <t>Total Effects</t>
  </si>
  <si>
    <t>Outer Loadings</t>
  </si>
  <si>
    <t>BBJ</t>
  </si>
  <si>
    <t>BL</t>
  </si>
  <si>
    <t>BM</t>
  </si>
  <si>
    <t>BP</t>
  </si>
  <si>
    <t>HPKD</t>
  </si>
  <si>
    <t>KES</t>
  </si>
  <si>
    <t>LPS</t>
  </si>
  <si>
    <t>PD</t>
  </si>
  <si>
    <t>PEG</t>
  </si>
  <si>
    <t>PEN</t>
  </si>
  <si>
    <t>RD</t>
  </si>
  <si>
    <t>Outer Weights</t>
  </si>
  <si>
    <t>Latent Variable</t>
  </si>
  <si>
    <t>Case 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</si>
  <si>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</si>
  <si>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</si>
  <si>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</si>
  <si>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</si>
  <si>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</si>
  <si>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</si>
  <si>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</si>
  <si>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</si>
  <si>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</si>
  <si>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</si>
  <si>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</si>
  <si>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</si>
  <si>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</si>
  <si>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</si>
  <si>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</si>
  <si>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</si>
  <si>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</si>
  <si>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</si>
  <si>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</si>
  <si>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</si>
  <si>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</si>
  <si>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</si>
  <si>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</si>
  <si>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</si>
  <si>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</si>
  <si>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</si>
  <si>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</si>
  <si>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</si>
  <si>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</si>
  <si>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</si>
  <si>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</si>
  <si>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</si>
  <si>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</si>
  <si>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</si>
  <si>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Latent Variable Correlations</t>
  </si>
  <si>
    <t>Latent Variable Covariances</t>
  </si>
  <si>
    <t>LV Descriptives</t>
  </si>
  <si>
    <t>Mean</t>
  </si>
  <si>
    <t>Median</t>
  </si>
  <si>
    <t>Min</t>
  </si>
  <si>
    <t>Max</t>
  </si>
  <si>
    <t>Standard Deviation</t>
  </si>
  <si>
    <t>Excess Kurtosis</t>
  </si>
  <si>
    <t>Skewness</t>
  </si>
  <si>
    <t>Number of Observations Used</t>
  </si>
  <si>
    <t>Residuals</t>
  </si>
  <si>
    <t>Outer Model Residual Scores</t>
  </si>
  <si>
    <t>Outer Model Residual Correlation</t>
  </si>
  <si>
    <t>Outer Model Residual Descriptives</t>
  </si>
  <si>
    <t>Inner Model Residual Scores</t>
  </si>
  <si>
    <t>Inner Model Residual Correlation</t>
  </si>
  <si>
    <t>Inner Model Residual Descriptives</t>
  </si>
  <si>
    <t>Quality Criteria</t>
  </si>
  <si>
    <t>R Square</t>
  </si>
  <si>
    <t>R Square Adjusted</t>
  </si>
  <si>
    <t>f Square</t>
  </si>
  <si>
    <t>Construct Reliability and Validity</t>
  </si>
  <si>
    <t>Cronbach's Alpha</t>
  </si>
  <si>
    <t>rho_A</t>
  </si>
  <si>
    <t>Composite Reliability</t>
  </si>
  <si>
    <t>Average Variance Extracted (AVE)</t>
  </si>
  <si>
    <t>Discriminant Validity</t>
  </si>
  <si>
    <t>Fornell-Larcker Criterion</t>
  </si>
  <si>
    <t>Cross Loadings</t>
  </si>
  <si>
    <t>Heterotrait-Monotrait Ratio (HTMT)</t>
  </si>
  <si>
    <t>Collinearity Statistics (VIF)</t>
  </si>
  <si>
    <t>Outer VIF Values</t>
  </si>
  <si>
    <t>VIF</t>
  </si>
  <si>
    <t>Inner VIF Values</t>
  </si>
  <si>
    <t>Model_Fit</t>
  </si>
  <si>
    <t>Fit Summary</t>
  </si>
  <si>
    <t>Saturated Model</t>
  </si>
  <si>
    <t>Estimated Model</t>
  </si>
  <si>
    <t>SRMR</t>
  </si>
  <si>
    <t>d_ULS</t>
  </si>
  <si>
    <t>d_G</t>
  </si>
  <si>
    <t>Chi-Square</t>
  </si>
  <si>
    <t>NFI</t>
  </si>
  <si>
    <t>rms Theta</t>
  </si>
  <si>
    <t>Model Selection Criteria</t>
  </si>
  <si>
    <t>AIC  (Akaike's Information Criterion)</t>
  </si>
  <si>
    <t>AICu (Unbiased Akaikes Information Criterion</t>
  </si>
  <si>
    <t>AICc (Corrected Akaikes Information Criterion)</t>
  </si>
  <si>
    <t>BIC  (Bayesian Information Criteria)</t>
  </si>
  <si>
    <t>HQ  (Hannan Quinn Criterion)</t>
  </si>
  <si>
    <t>HQc (Corrected Hannan-Quinn Criterion)</t>
  </si>
  <si>
    <t>Interim Results</t>
  </si>
  <si>
    <t>Stop Criterion Changes</t>
  </si>
  <si>
    <t>Iteration 0</t>
  </si>
  <si>
    <t>Iteration 1</t>
  </si>
  <si>
    <t>Iteration 2</t>
  </si>
  <si>
    <t>Iteration 3</t>
  </si>
  <si>
    <t>Iteration 4</t>
  </si>
  <si>
    <t>Iteration 5</t>
  </si>
  <si>
    <t>Iteration 6</t>
  </si>
  <si>
    <t>Iteration 7</t>
  </si>
  <si>
    <t>Iteration 8</t>
  </si>
  <si>
    <t>Iteration 9</t>
  </si>
  <si>
    <t>Base Data</t>
  </si>
  <si>
    <t>Setting</t>
  </si>
  <si>
    <t>Data file Settings</t>
  </si>
  <si>
    <t>Data file</t>
  </si>
  <si>
    <t>2 inter-Skripsi [34 records]</t>
  </si>
  <si>
    <t>Missing value marker</t>
  </si>
  <si>
    <t>none</t>
  </si>
  <si>
    <t>Data Setup Settings</t>
  </si>
  <si>
    <t>Algorithm to handle missing data</t>
  </si>
  <si>
    <t>None</t>
  </si>
  <si>
    <t>Weighting Vector</t>
  </si>
  <si>
    <t>-</t>
  </si>
  <si>
    <t>PLS Algorithm Settings</t>
  </si>
  <si>
    <t>Data metric</t>
  </si>
  <si>
    <t>Mean 0, Var 1</t>
  </si>
  <si>
    <t>Initial Weights</t>
  </si>
  <si>
    <t>1.0</t>
  </si>
  <si>
    <t>Max. number of iterations</t>
  </si>
  <si>
    <t>300</t>
  </si>
  <si>
    <t>Stop criterion</t>
  </si>
  <si>
    <t>Use Lohmoeller settings?</t>
  </si>
  <si>
    <t>No</t>
  </si>
  <si>
    <t>Weighting scheme</t>
  </si>
  <si>
    <t>Path</t>
  </si>
  <si>
    <t>Construct Outer Weighting Mode Settings</t>
  </si>
  <si>
    <t>Automatic</t>
  </si>
  <si>
    <t>Inner Model</t>
  </si>
  <si>
    <t>Outer Model</t>
  </si>
  <si>
    <t>Indicator Data (Original)</t>
  </si>
  <si>
    <t>MV Descriptives</t>
  </si>
  <si>
    <t xml:space="preserve"> </t>
  </si>
  <si>
    <t>Indicator Data (Standardized)</t>
  </si>
  <si>
    <t>Indicator Data (Correlations)</t>
  </si>
  <si>
    <t>Empirical Correlation Matrix</t>
  </si>
  <si>
    <t>Model Implied Saturated Correlation Matrix</t>
  </si>
  <si>
    <t>Model Implied Estimated Correlation Matrix</t>
  </si>
  <si>
    <t>Empirical Covariance Matrix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</si>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</sst>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9" x14ac:knownFonts="1">
    <font>
      <sz val="11"/>
      <color indexed="8"/>
      <name val="Calibri"/>
      <family val="2"/>
      <scheme val="minor"/>
    </font>
    <font>
      <b/>
      <sz val="30"/>
      <color indexed="60"/>
      <name val="Arial"/>
      <family val="2"/>
    </font>
    <font>
      <b/>
      <sz val="13"/>
      <color indexed="8"/>
      <name val="Arial"/>
      <family val="2"/>
    </font>
    <font>
      <sz val="12"/>
      <color indexed="60"/>
      <name val="Arial"/>
      <family val="2"/>
    </font>
    <font>
      <sz val="10"/>
      <color indexed="60"/>
      <name val="Arial"/>
      <family val="2"/>
    </font>
    <font>
      <b/>
      <u/>
      <sz val="10"/>
      <color indexed="12"/>
      <name val="Arial"/>
      <family val="2"/>
    </font>
    <font>
      <b/>
      <sz val="11"/>
      <color indexed="54"/>
      <name val="Arial"/>
      <family val="2"/>
    </font>
    <font>
      <b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16"/>
      <name val="Arial"/>
      <family val="2"/>
    </font>
    <font>
      <b/>
      <sz val="10"/>
      <color indexed="17"/>
      <name val="Arial"/>
      <family val="2"/>
    </font>
    <font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4" fontId="11" fillId="0" borderId="1" xfId="0" applyNumberFormat="1" applyFont="1" applyBorder="1" applyAlignment="1">
      <alignment vertical="center"/>
    </xf>
    <xf numFmtId="164" fontId="12" fillId="0" borderId="1" xfId="0" applyNumberFormat="1" applyFont="1" applyBorder="1" applyAlignment="1">
      <alignment vertical="center"/>
    </xf>
    <xf numFmtId="164" fontId="13" fillId="0" borderId="1" xfId="0" applyNumberFormat="1" applyFont="1" applyBorder="1" applyAlignment="1">
      <alignment vertical="center"/>
    </xf>
    <xf numFmtId="164" fontId="14" fillId="0" borderId="1" xfId="0" applyNumberFormat="1" applyFont="1" applyBorder="1" applyAlignment="1">
      <alignment vertical="center"/>
    </xf>
    <xf numFmtId="164" fontId="15" fillId="3" borderId="1" xfId="0" applyNumberFormat="1" applyFont="1" applyFill="1" applyBorder="1" applyAlignment="1">
      <alignment vertical="center"/>
    </xf>
    <xf numFmtId="164" fontId="16" fillId="3" borderId="1" xfId="0" applyNumberFormat="1" applyFont="1" applyFill="1" applyBorder="1" applyAlignment="1">
      <alignment vertical="center"/>
    </xf>
    <xf numFmtId="164" fontId="17" fillId="3" borderId="1" xfId="0" applyNumberFormat="1" applyFont="1" applyFill="1" applyBorder="1" applyAlignment="1">
      <alignment vertical="center"/>
    </xf>
    <xf numFmtId="164" fontId="18" fillId="3" borderId="1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4</xdr:row>
      <xdr:rowOff>0</xdr:rowOff>
    </xdr:from>
    <xdr:to>
      <xdr:col>11</xdr:col>
      <xdr:colOff>66682</xdr:colOff>
      <xdr:row>24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25</xdr:row>
      <xdr:rowOff>0</xdr:rowOff>
    </xdr:from>
    <xdr:to>
      <xdr:col>11</xdr:col>
      <xdr:colOff>66682</xdr:colOff>
      <xdr:row>45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46</xdr:row>
      <xdr:rowOff>0</xdr:rowOff>
    </xdr:from>
    <xdr:to>
      <xdr:col>11</xdr:col>
      <xdr:colOff>66682</xdr:colOff>
      <xdr:row>66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67</xdr:row>
      <xdr:rowOff>0</xdr:rowOff>
    </xdr:from>
    <xdr:to>
      <xdr:col>11</xdr:col>
      <xdr:colOff>66682</xdr:colOff>
      <xdr:row>87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88</xdr:row>
      <xdr:rowOff>0</xdr:rowOff>
    </xdr:from>
    <xdr:to>
      <xdr:col>11</xdr:col>
      <xdr:colOff>66682</xdr:colOff>
      <xdr:row>104</xdr:row>
      <xdr:rowOff>63500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109</xdr:row>
      <xdr:rowOff>0</xdr:rowOff>
    </xdr:from>
    <xdr:to>
      <xdr:col>11</xdr:col>
      <xdr:colOff>66682</xdr:colOff>
      <xdr:row>124</xdr:row>
      <xdr:rowOff>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130</xdr:row>
      <xdr:rowOff>0</xdr:rowOff>
    </xdr:from>
    <xdr:to>
      <xdr:col>11</xdr:col>
      <xdr:colOff>66682</xdr:colOff>
      <xdr:row>145</xdr:row>
      <xdr:rowOff>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151</xdr:row>
      <xdr:rowOff>0</xdr:rowOff>
    </xdr:from>
    <xdr:to>
      <xdr:col>11</xdr:col>
      <xdr:colOff>66682</xdr:colOff>
      <xdr:row>166</xdr:row>
      <xdr:rowOff>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  <xdr:twoCellAnchor editAs="absolute">
    <xdr:from>
      <xdr:col>1</xdr:col>
      <xdr:colOff>0</xdr:colOff>
      <xdr:row>172</xdr:row>
      <xdr:rowOff>0</xdr:rowOff>
    </xdr:from>
    <xdr:to>
      <xdr:col>11</xdr:col>
      <xdr:colOff>66682</xdr:colOff>
      <xdr:row>187</xdr:row>
      <xdr:rowOff>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1"/>
          <a:ext cx="6162675" cy="381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U33"/>
  <sheetViews>
    <sheetView topLeftCell="A3" workbookViewId="0">
      <selection activeCell="C19" sqref="C19"/>
    </sheetView>
  </sheetViews>
  <sheetFormatPr defaultRowHeight="14.5" x14ac:dyDescent="0.35"/>
  <cols>
    <col min="1" max="1" width="7.81640625" customWidth="1"/>
    <col min="2" max="2" width="29.7265625" customWidth="1"/>
    <col min="3" max="3" width="15.6328125" customWidth="1"/>
  </cols>
  <sheetData>
    <row r="1" spans="2:21" ht="50" customHeight="1" x14ac:dyDescent="0.3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3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4" spans="2:21" ht="15.5" x14ac:dyDescent="0.35">
      <c r="C4" s="5" t="s">
        <v>163</v>
      </c>
    </row>
    <row r="6" spans="2:21" ht="15.5" x14ac:dyDescent="0.35">
      <c r="B6" s="5" t="s">
        <v>2</v>
      </c>
    </row>
    <row r="7" spans="2:21" x14ac:dyDescent="0.35">
      <c r="B7" s="6" t="s">
        <v>3</v>
      </c>
      <c r="C7" s="2" t="str">
        <f>HYPERLINK("#'Complete'!B8", "show")</f>
        <v>show</v>
      </c>
    </row>
    <row r="8" spans="2:21" x14ac:dyDescent="0.35">
      <c r="B8" s="6" t="s">
        <v>8</v>
      </c>
      <c r="C8" s="2" t="str">
        <f>HYPERLINK("#'Complete'!B16", "show")</f>
        <v>show</v>
      </c>
    </row>
    <row r="9" spans="2:21" x14ac:dyDescent="0.35">
      <c r="B9" s="6" t="s">
        <v>12</v>
      </c>
      <c r="C9" s="2" t="str">
        <f>HYPERLINK("#'Complete'!B33", "show")</f>
        <v>show</v>
      </c>
    </row>
    <row r="10" spans="2:21" x14ac:dyDescent="0.35">
      <c r="B10" s="6" t="s">
        <v>13</v>
      </c>
      <c r="C10" s="2" t="str">
        <f>HYPERLINK("#'Complete'!B41", "show")</f>
        <v>show</v>
      </c>
    </row>
    <row r="11" spans="2:21" x14ac:dyDescent="0.35">
      <c r="B11" s="6" t="s">
        <v>25</v>
      </c>
      <c r="C11" s="2" t="str">
        <f>HYPERLINK("#'Complete'!B57", "show")</f>
        <v>show</v>
      </c>
    </row>
    <row r="12" spans="2:21" x14ac:dyDescent="0.35">
      <c r="B12" s="6" t="s">
        <v>26</v>
      </c>
      <c r="C12" s="2" t="str">
        <f>HYPERLINK("#'Complete'!B73", "show")</f>
        <v>show</v>
      </c>
    </row>
    <row r="13" spans="2:21" x14ac:dyDescent="0.35">
      <c r="B13" s="6" t="s">
        <v>73</v>
      </c>
      <c r="C13" s="2" t="str">
        <f>HYPERLINK("#'Complete'!B139", "show")</f>
        <v>show</v>
      </c>
    </row>
    <row r="15" spans="2:21" ht="15.5" x14ac:dyDescent="0.35">
      <c r="B15" s="5" t="s">
        <v>80</v>
      </c>
    </row>
    <row r="16" spans="2:21" x14ac:dyDescent="0.35">
      <c r="B16" s="6" t="s">
        <v>81</v>
      </c>
      <c r="C16" s="2" t="str">
        <f>HYPERLINK("#'Complete'!B268", "show")</f>
        <v>show</v>
      </c>
    </row>
    <row r="17" spans="2:3" x14ac:dyDescent="0.35">
      <c r="B17" s="6" t="s">
        <v>83</v>
      </c>
      <c r="C17" s="2" t="str">
        <f>HYPERLINK("#'Complete'!B275", "show")</f>
        <v>show</v>
      </c>
    </row>
    <row r="18" spans="2:3" x14ac:dyDescent="0.35">
      <c r="B18" s="6" t="s">
        <v>84</v>
      </c>
      <c r="C18" s="2" t="str">
        <f>HYPERLINK("#'Complete'!B283", "show")</f>
        <v>show</v>
      </c>
    </row>
    <row r="19" spans="2:3" x14ac:dyDescent="0.35">
      <c r="B19" s="6" t="s">
        <v>89</v>
      </c>
      <c r="C19" s="2" t="str">
        <f>HYPERLINK("#'Complete'!B291", "show")</f>
        <v>show</v>
      </c>
    </row>
    <row r="20" spans="2:3" x14ac:dyDescent="0.35">
      <c r="B20" s="6" t="s">
        <v>93</v>
      </c>
      <c r="C20" s="2" t="str">
        <f>HYPERLINK("#'Complete'!B326", "show")</f>
        <v>show</v>
      </c>
    </row>
    <row r="21" spans="2:3" x14ac:dyDescent="0.35">
      <c r="B21" s="6" t="s">
        <v>97</v>
      </c>
      <c r="C21" s="2" t="str">
        <f>HYPERLINK("#'Complete'!B353", "show")</f>
        <v>show</v>
      </c>
    </row>
    <row r="22" spans="2:3" x14ac:dyDescent="0.35">
      <c r="B22" s="6" t="s">
        <v>107</v>
      </c>
      <c r="C22" s="2" t="str">
        <f>HYPERLINK("#'Complete'!B371", "show")</f>
        <v>show</v>
      </c>
    </row>
    <row r="24" spans="2:3" ht="15.5" x14ac:dyDescent="0.35">
      <c r="B24" s="5" t="s">
        <v>114</v>
      </c>
    </row>
    <row r="25" spans="2:3" x14ac:dyDescent="0.35">
      <c r="B25" s="6" t="s">
        <v>115</v>
      </c>
      <c r="C25" s="2" t="str">
        <f>HYPERLINK("#'Complete'!B380", "show")</f>
        <v>show</v>
      </c>
    </row>
    <row r="27" spans="2:3" ht="15.5" x14ac:dyDescent="0.35">
      <c r="B27" s="5" t="s">
        <v>126</v>
      </c>
    </row>
    <row r="28" spans="2:3" x14ac:dyDescent="0.35">
      <c r="B28" s="6" t="s">
        <v>127</v>
      </c>
      <c r="C28" s="2" t="str">
        <f>HYPERLINK("#'Complete'!B397", "show")</f>
        <v>show</v>
      </c>
    </row>
    <row r="29" spans="2:3" x14ac:dyDescent="0.35">
      <c r="B29" s="6" t="s">
        <v>152</v>
      </c>
      <c r="C29" s="2" t="str">
        <f>HYPERLINK("#'Complete'!B418", "show")</f>
        <v>show</v>
      </c>
    </row>
    <row r="30" spans="2:3" x14ac:dyDescent="0.35">
      <c r="B30" s="6" t="s">
        <v>153</v>
      </c>
      <c r="C30" s="2" t="str">
        <f>HYPERLINK("#'Complete'!B426", "show")</f>
        <v>show</v>
      </c>
    </row>
    <row r="31" spans="2:3" x14ac:dyDescent="0.35">
      <c r="B31" s="6" t="s">
        <v>154</v>
      </c>
      <c r="C31" s="2" t="str">
        <f>HYPERLINK("#'Complete'!B442", "show")</f>
        <v>show</v>
      </c>
    </row>
    <row r="32" spans="2:3" x14ac:dyDescent="0.35">
      <c r="B32" s="6" t="s">
        <v>157</v>
      </c>
      <c r="C32" s="2" t="str">
        <f>HYPERLINK("#'Complete'!B497", "show")</f>
        <v>show</v>
      </c>
    </row>
    <row r="33" spans="2:3" x14ac:dyDescent="0.35">
      <c r="B33" s="6" t="s">
        <v>158</v>
      </c>
      <c r="C33" s="2" t="str">
        <f>HYPERLINK("#'Complete'!B536", "show")</f>
        <v>show</v>
      </c>
    </row>
  </sheetData>
  <mergeCells count="2">
    <mergeCell ref="B1:U1"/>
    <mergeCell ref="B2:U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01"/>
  <sheetViews>
    <sheetView showGridLines="0" tabSelected="1" workbookViewId="0">
      <pane ySplit="3" topLeftCell="A267" activePane="bottomLeft" state="frozen"/>
      <selection pane="bottomLeft" activeCell="B270" sqref="B270"/>
    </sheetView>
  </sheetViews>
  <sheetFormatPr defaultRowHeight="14.5" x14ac:dyDescent="0.35"/>
  <cols>
    <col min="1" max="1" width="3.90625" customWidth="1"/>
    <col min="2" max="2" width="73.453125" customWidth="1"/>
    <col min="3" max="3" width="35.36328125" customWidth="1"/>
    <col min="4" max="4" width="44.453125" customWidth="1"/>
    <col min="5" max="5" width="45.453125" customWidth="1"/>
    <col min="6" max="6" width="34.81640625" customWidth="1"/>
    <col min="7" max="7" width="29" customWidth="1"/>
    <col min="8" max="8" width="39.6328125" customWidth="1"/>
    <col min="9" max="9" width="12.7265625" customWidth="1"/>
    <col min="10" max="10" width="29.81640625" customWidth="1"/>
    <col min="11" max="11" width="12.7265625" customWidth="1"/>
    <col min="12" max="12" width="8.90625" customWidth="1"/>
    <col min="13" max="13" width="11.54296875" customWidth="1"/>
  </cols>
  <sheetData>
    <row r="1" spans="2:21" ht="50" customHeight="1" x14ac:dyDescent="0.3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3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3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6" spans="2:21" ht="16.5" x14ac:dyDescent="0.35">
      <c r="B6" s="19" t="s">
        <v>2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8" spans="2:21" ht="15.5" x14ac:dyDescent="0.35">
      <c r="B8" s="20" t="s">
        <v>3</v>
      </c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</row>
    <row r="9" spans="2:21" ht="5" customHeight="1" x14ac:dyDescent="0.35"/>
    <row r="10" spans="2:21" x14ac:dyDescent="0.35">
      <c r="B10" s="4" t="s">
        <v>4</v>
      </c>
      <c r="C10" s="3" t="s">
        <v>5</v>
      </c>
      <c r="D10" s="3" t="s">
        <v>6</v>
      </c>
      <c r="E10" s="3" t="s">
        <v>7</v>
      </c>
    </row>
    <row r="11" spans="2:21" x14ac:dyDescent="0.35">
      <c r="B11" s="3" t="s">
        <v>5</v>
      </c>
      <c r="C11" s="10" t="s">
        <v>4</v>
      </c>
      <c r="D11" s="10">
        <v>-0.82879220591805924</v>
      </c>
      <c r="E11" s="10" t="s">
        <v>4</v>
      </c>
    </row>
    <row r="12" spans="2:21" x14ac:dyDescent="0.35">
      <c r="B12" s="3" t="s">
        <v>6</v>
      </c>
      <c r="C12" s="14" t="s">
        <v>4</v>
      </c>
      <c r="D12" s="14" t="s">
        <v>4</v>
      </c>
      <c r="E12" s="14" t="s">
        <v>4</v>
      </c>
    </row>
    <row r="13" spans="2:21" x14ac:dyDescent="0.35">
      <c r="B13" s="3" t="s">
        <v>7</v>
      </c>
      <c r="C13" s="10">
        <v>0.9762722074882435</v>
      </c>
      <c r="D13" s="10">
        <v>1.295876912256378</v>
      </c>
      <c r="E13" s="10" t="s">
        <v>4</v>
      </c>
    </row>
    <row r="14" spans="2:21" ht="10" customHeight="1" x14ac:dyDescent="0.35"/>
    <row r="16" spans="2:21" ht="15.5" x14ac:dyDescent="0.35">
      <c r="B16" s="20" t="s">
        <v>8</v>
      </c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</row>
    <row r="17" spans="2:5" ht="5" customHeight="1" x14ac:dyDescent="0.35"/>
    <row r="19" spans="2:5" x14ac:dyDescent="0.35">
      <c r="B19" s="1" t="s">
        <v>9</v>
      </c>
    </row>
    <row r="20" spans="2:5" ht="5" customHeight="1" x14ac:dyDescent="0.35"/>
    <row r="21" spans="2:5" x14ac:dyDescent="0.35">
      <c r="B21" s="4" t="s">
        <v>4</v>
      </c>
      <c r="C21" s="3" t="s">
        <v>5</v>
      </c>
      <c r="D21" s="3" t="s">
        <v>6</v>
      </c>
      <c r="E21" s="3" t="s">
        <v>7</v>
      </c>
    </row>
    <row r="22" spans="2:5" x14ac:dyDescent="0.35">
      <c r="B22" s="3" t="s">
        <v>5</v>
      </c>
      <c r="C22" s="10" t="s">
        <v>4</v>
      </c>
      <c r="D22" s="10" t="s">
        <v>4</v>
      </c>
      <c r="E22" s="10" t="s">
        <v>4</v>
      </c>
    </row>
    <row r="23" spans="2:5" x14ac:dyDescent="0.35">
      <c r="B23" s="3" t="s">
        <v>6</v>
      </c>
      <c r="C23" s="14" t="s">
        <v>4</v>
      </c>
      <c r="D23" s="14" t="s">
        <v>4</v>
      </c>
      <c r="E23" s="14" t="s">
        <v>4</v>
      </c>
    </row>
    <row r="24" spans="2:5" x14ac:dyDescent="0.35">
      <c r="B24" s="3" t="s">
        <v>7</v>
      </c>
      <c r="C24" s="10" t="s">
        <v>4</v>
      </c>
      <c r="D24" s="10">
        <v>-0.80912679642067453</v>
      </c>
      <c r="E24" s="10" t="s">
        <v>4</v>
      </c>
    </row>
    <row r="25" spans="2:5" ht="10" customHeight="1" x14ac:dyDescent="0.35"/>
    <row r="27" spans="2:5" x14ac:dyDescent="0.35">
      <c r="B27" s="1" t="s">
        <v>10</v>
      </c>
    </row>
    <row r="28" spans="2:5" ht="5" customHeight="1" x14ac:dyDescent="0.35"/>
    <row r="29" spans="2:5" x14ac:dyDescent="0.35">
      <c r="B29" s="4" t="s">
        <v>4</v>
      </c>
      <c r="C29" s="3" t="s">
        <v>10</v>
      </c>
    </row>
    <row r="30" spans="2:5" x14ac:dyDescent="0.35">
      <c r="B30" s="3" t="s">
        <v>11</v>
      </c>
      <c r="C30" s="10">
        <v>-0.80912679642067453</v>
      </c>
    </row>
    <row r="31" spans="2:5" ht="10" customHeight="1" x14ac:dyDescent="0.35"/>
    <row r="33" spans="2:21" ht="15.5" x14ac:dyDescent="0.35">
      <c r="B33" s="20" t="s">
        <v>12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</row>
    <row r="34" spans="2:21" ht="5" customHeight="1" x14ac:dyDescent="0.35"/>
    <row r="35" spans="2:21" x14ac:dyDescent="0.35">
      <c r="B35" s="4" t="s">
        <v>4</v>
      </c>
      <c r="C35" s="3" t="s">
        <v>5</v>
      </c>
      <c r="D35" s="3" t="s">
        <v>6</v>
      </c>
      <c r="E35" s="3" t="s">
        <v>7</v>
      </c>
    </row>
    <row r="36" spans="2:21" x14ac:dyDescent="0.35">
      <c r="B36" s="3" t="s">
        <v>5</v>
      </c>
      <c r="C36" s="10" t="s">
        <v>4</v>
      </c>
      <c r="D36" s="10">
        <v>-0.82879220591805924</v>
      </c>
      <c r="E36" s="10" t="s">
        <v>4</v>
      </c>
    </row>
    <row r="37" spans="2:21" x14ac:dyDescent="0.35">
      <c r="B37" s="3" t="s">
        <v>6</v>
      </c>
      <c r="C37" s="14" t="s">
        <v>4</v>
      </c>
      <c r="D37" s="14" t="s">
        <v>4</v>
      </c>
      <c r="E37" s="14" t="s">
        <v>4</v>
      </c>
    </row>
    <row r="38" spans="2:21" x14ac:dyDescent="0.35">
      <c r="B38" s="3" t="s">
        <v>7</v>
      </c>
      <c r="C38" s="10">
        <v>0.9762722074882435</v>
      </c>
      <c r="D38" s="10">
        <v>0.48675011583570349</v>
      </c>
      <c r="E38" s="10" t="s">
        <v>4</v>
      </c>
    </row>
    <row r="39" spans="2:21" ht="10" customHeight="1" x14ac:dyDescent="0.35"/>
    <row r="41" spans="2:21" ht="15.5" x14ac:dyDescent="0.35">
      <c r="B41" s="20" t="s">
        <v>13</v>
      </c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</row>
    <row r="42" spans="2:21" ht="5" customHeight="1" x14ac:dyDescent="0.35"/>
    <row r="43" spans="2:21" x14ac:dyDescent="0.35">
      <c r="B43" s="4" t="s">
        <v>4</v>
      </c>
      <c r="C43" s="3" t="s">
        <v>5</v>
      </c>
      <c r="D43" s="3" t="s">
        <v>6</v>
      </c>
      <c r="E43" s="3" t="s">
        <v>7</v>
      </c>
    </row>
    <row r="44" spans="2:21" x14ac:dyDescent="0.35">
      <c r="B44" s="3" t="s">
        <v>14</v>
      </c>
      <c r="C44" s="9">
        <v>0.98444888882111292</v>
      </c>
      <c r="D44" s="8" t="s">
        <v>4</v>
      </c>
      <c r="E44" s="8" t="s">
        <v>4</v>
      </c>
    </row>
    <row r="45" spans="2:21" x14ac:dyDescent="0.35">
      <c r="B45" s="3" t="s">
        <v>15</v>
      </c>
      <c r="C45" s="13">
        <v>0.77118474930439884</v>
      </c>
      <c r="D45" s="12" t="s">
        <v>4</v>
      </c>
      <c r="E45" s="12" t="s">
        <v>4</v>
      </c>
    </row>
    <row r="46" spans="2:21" x14ac:dyDescent="0.35">
      <c r="B46" s="3" t="s">
        <v>16</v>
      </c>
      <c r="C46" s="9">
        <v>0.95723868089777564</v>
      </c>
      <c r="D46" s="8" t="s">
        <v>4</v>
      </c>
      <c r="E46" s="8" t="s">
        <v>4</v>
      </c>
    </row>
    <row r="47" spans="2:21" x14ac:dyDescent="0.35">
      <c r="B47" s="3" t="s">
        <v>17</v>
      </c>
      <c r="C47" s="13">
        <v>0.98382731411763447</v>
      </c>
      <c r="D47" s="12" t="s">
        <v>4</v>
      </c>
      <c r="E47" s="12" t="s">
        <v>4</v>
      </c>
    </row>
    <row r="48" spans="2:21" x14ac:dyDescent="0.35">
      <c r="B48" s="3" t="s">
        <v>18</v>
      </c>
      <c r="C48" s="8" t="s">
        <v>4</v>
      </c>
      <c r="D48" s="8" t="s">
        <v>4</v>
      </c>
      <c r="E48" s="9">
        <v>0.88331996955480574</v>
      </c>
    </row>
    <row r="49" spans="2:21" x14ac:dyDescent="0.35">
      <c r="B49" s="3" t="s">
        <v>19</v>
      </c>
      <c r="C49" s="12" t="s">
        <v>4</v>
      </c>
      <c r="D49" s="13">
        <v>0.8558683185228837</v>
      </c>
      <c r="E49" s="12" t="s">
        <v>4</v>
      </c>
    </row>
    <row r="50" spans="2:21" x14ac:dyDescent="0.35">
      <c r="B50" s="3" t="s">
        <v>20</v>
      </c>
      <c r="C50" s="8" t="s">
        <v>4</v>
      </c>
      <c r="D50" s="8" t="s">
        <v>4</v>
      </c>
      <c r="E50" s="9">
        <v>0.96676927369905696</v>
      </c>
    </row>
    <row r="51" spans="2:21" x14ac:dyDescent="0.35">
      <c r="B51" s="3" t="s">
        <v>21</v>
      </c>
      <c r="C51" s="12" t="s">
        <v>4</v>
      </c>
      <c r="D51" s="12" t="s">
        <v>4</v>
      </c>
      <c r="E51" s="13">
        <v>0.97289180331098468</v>
      </c>
    </row>
    <row r="52" spans="2:21" x14ac:dyDescent="0.35">
      <c r="B52" s="3" t="s">
        <v>22</v>
      </c>
      <c r="C52" s="8" t="s">
        <v>4</v>
      </c>
      <c r="D52" s="9">
        <v>0.83846567226431556</v>
      </c>
      <c r="E52" s="8" t="s">
        <v>4</v>
      </c>
    </row>
    <row r="53" spans="2:21" x14ac:dyDescent="0.35">
      <c r="B53" s="3" t="s">
        <v>23</v>
      </c>
      <c r="C53" s="12" t="s">
        <v>4</v>
      </c>
      <c r="D53" s="12">
        <v>0.66607744181470463</v>
      </c>
      <c r="E53" s="12" t="s">
        <v>4</v>
      </c>
    </row>
    <row r="54" spans="2:21" x14ac:dyDescent="0.35">
      <c r="B54" s="3" t="s">
        <v>24</v>
      </c>
      <c r="C54" s="8" t="s">
        <v>4</v>
      </c>
      <c r="D54" s="8" t="s">
        <v>4</v>
      </c>
      <c r="E54" s="9">
        <v>0.90100758770974854</v>
      </c>
    </row>
    <row r="55" spans="2:21" ht="10" customHeight="1" x14ac:dyDescent="0.35"/>
    <row r="57" spans="2:21" ht="15.5" x14ac:dyDescent="0.35">
      <c r="B57" s="20" t="s">
        <v>25</v>
      </c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</row>
    <row r="58" spans="2:21" ht="5" customHeight="1" x14ac:dyDescent="0.35"/>
    <row r="59" spans="2:21" x14ac:dyDescent="0.35">
      <c r="B59" s="4" t="s">
        <v>4</v>
      </c>
      <c r="C59" s="3" t="s">
        <v>5</v>
      </c>
      <c r="D59" s="3" t="s">
        <v>6</v>
      </c>
      <c r="E59" s="3" t="s">
        <v>7</v>
      </c>
    </row>
    <row r="60" spans="2:21" x14ac:dyDescent="0.35">
      <c r="B60" s="3" t="s">
        <v>14</v>
      </c>
      <c r="C60" s="10">
        <v>0.2864984077292152</v>
      </c>
      <c r="D60" s="10" t="s">
        <v>4</v>
      </c>
      <c r="E60" s="10" t="s">
        <v>4</v>
      </c>
    </row>
    <row r="61" spans="2:21" x14ac:dyDescent="0.35">
      <c r="B61" s="3" t="s">
        <v>15</v>
      </c>
      <c r="C61" s="14">
        <v>0.21392472011710034</v>
      </c>
      <c r="D61" s="14" t="s">
        <v>4</v>
      </c>
      <c r="E61" s="14" t="s">
        <v>4</v>
      </c>
    </row>
    <row r="62" spans="2:21" x14ac:dyDescent="0.35">
      <c r="B62" s="3" t="s">
        <v>16</v>
      </c>
      <c r="C62" s="10">
        <v>0.27300279251469528</v>
      </c>
      <c r="D62" s="10" t="s">
        <v>4</v>
      </c>
      <c r="E62" s="10" t="s">
        <v>4</v>
      </c>
    </row>
    <row r="63" spans="2:21" x14ac:dyDescent="0.35">
      <c r="B63" s="3" t="s">
        <v>17</v>
      </c>
      <c r="C63" s="14">
        <v>0.2964469902747463</v>
      </c>
      <c r="D63" s="14" t="s">
        <v>4</v>
      </c>
      <c r="E63" s="14" t="s">
        <v>4</v>
      </c>
    </row>
    <row r="64" spans="2:21" x14ac:dyDescent="0.35">
      <c r="B64" s="3" t="s">
        <v>18</v>
      </c>
      <c r="C64" s="10" t="s">
        <v>4</v>
      </c>
      <c r="D64" s="10" t="s">
        <v>4</v>
      </c>
      <c r="E64" s="10">
        <v>0.24317788839555041</v>
      </c>
    </row>
    <row r="65" spans="2:21" x14ac:dyDescent="0.35">
      <c r="B65" s="3" t="s">
        <v>19</v>
      </c>
      <c r="C65" s="14" t="s">
        <v>4</v>
      </c>
      <c r="D65" s="14">
        <v>0.54511977801445344</v>
      </c>
      <c r="E65" s="14" t="s">
        <v>4</v>
      </c>
    </row>
    <row r="66" spans="2:21" x14ac:dyDescent="0.35">
      <c r="B66" s="3" t="s">
        <v>20</v>
      </c>
      <c r="C66" s="10" t="s">
        <v>4</v>
      </c>
      <c r="D66" s="10" t="s">
        <v>4</v>
      </c>
      <c r="E66" s="10">
        <v>0.27658712902597266</v>
      </c>
    </row>
    <row r="67" spans="2:21" x14ac:dyDescent="0.35">
      <c r="B67" s="3" t="s">
        <v>21</v>
      </c>
      <c r="C67" s="14" t="s">
        <v>4</v>
      </c>
      <c r="D67" s="14" t="s">
        <v>4</v>
      </c>
      <c r="E67" s="14">
        <v>0.28828783227340243</v>
      </c>
    </row>
    <row r="68" spans="2:21" x14ac:dyDescent="0.35">
      <c r="B68" s="3" t="s">
        <v>22</v>
      </c>
      <c r="C68" s="10" t="s">
        <v>4</v>
      </c>
      <c r="D68" s="10">
        <v>0.46335479675681479</v>
      </c>
      <c r="E68" s="10" t="s">
        <v>4</v>
      </c>
    </row>
    <row r="69" spans="2:21" x14ac:dyDescent="0.35">
      <c r="B69" s="3" t="s">
        <v>23</v>
      </c>
      <c r="C69" s="14" t="s">
        <v>4</v>
      </c>
      <c r="D69" s="14">
        <v>0.21760556947059201</v>
      </c>
      <c r="E69" s="14" t="s">
        <v>4</v>
      </c>
    </row>
    <row r="70" spans="2:21" x14ac:dyDescent="0.35">
      <c r="B70" s="3" t="s">
        <v>24</v>
      </c>
      <c r="C70" s="10" t="s">
        <v>4</v>
      </c>
      <c r="D70" s="10" t="s">
        <v>4</v>
      </c>
      <c r="E70" s="10">
        <v>0.26340211936867819</v>
      </c>
    </row>
    <row r="71" spans="2:21" ht="10" customHeight="1" x14ac:dyDescent="0.35"/>
    <row r="73" spans="2:21" ht="15.5" x14ac:dyDescent="0.35">
      <c r="B73" s="20" t="s">
        <v>26</v>
      </c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</row>
    <row r="74" spans="2:21" ht="5" customHeight="1" x14ac:dyDescent="0.35"/>
    <row r="76" spans="2:21" x14ac:dyDescent="0.35">
      <c r="B76" s="1" t="s">
        <v>26</v>
      </c>
    </row>
    <row r="77" spans="2:21" ht="5" customHeight="1" x14ac:dyDescent="0.35"/>
    <row r="78" spans="2:21" x14ac:dyDescent="0.35">
      <c r="B78" s="4" t="s">
        <v>27</v>
      </c>
      <c r="C78" s="3" t="s">
        <v>5</v>
      </c>
      <c r="D78" s="3" t="s">
        <v>6</v>
      </c>
      <c r="E78" s="3" t="s">
        <v>7</v>
      </c>
    </row>
    <row r="79" spans="2:21" x14ac:dyDescent="0.35">
      <c r="B79" s="3" t="s">
        <v>28</v>
      </c>
      <c r="C79" s="10">
        <v>0.43549717151906475</v>
      </c>
      <c r="D79" s="10">
        <v>6.9868880371234537E-2</v>
      </c>
      <c r="E79" s="10">
        <v>-8.7287973842581357E-3</v>
      </c>
    </row>
    <row r="80" spans="2:21" x14ac:dyDescent="0.35">
      <c r="B80" s="3" t="s">
        <v>29</v>
      </c>
      <c r="C80" s="14">
        <v>0.18280839377137009</v>
      </c>
      <c r="D80" s="14">
        <v>-0.42598925688328193</v>
      </c>
      <c r="E80" s="14">
        <v>0.23706813937660126</v>
      </c>
    </row>
    <row r="81" spans="2:5" x14ac:dyDescent="0.35">
      <c r="B81" s="3" t="s">
        <v>30</v>
      </c>
      <c r="C81" s="10">
        <v>-0.28068192420039939</v>
      </c>
      <c r="D81" s="10">
        <v>0.15073421521183089</v>
      </c>
      <c r="E81" s="10">
        <v>-0.29139493475995915</v>
      </c>
    </row>
    <row r="82" spans="2:5" x14ac:dyDescent="0.35">
      <c r="B82" s="3" t="s">
        <v>31</v>
      </c>
      <c r="C82" s="14">
        <v>-0.11033889668788752</v>
      </c>
      <c r="D82" s="14">
        <v>0.53211630907264595</v>
      </c>
      <c r="E82" s="14">
        <v>-0.17481464948539971</v>
      </c>
    </row>
    <row r="83" spans="2:5" x14ac:dyDescent="0.35">
      <c r="B83" s="3" t="s">
        <v>32</v>
      </c>
      <c r="C83" s="10">
        <v>-0.44511317767314629</v>
      </c>
      <c r="D83" s="10">
        <v>0.23010074515993928</v>
      </c>
      <c r="E83" s="10">
        <v>-0.44431713809560747</v>
      </c>
    </row>
    <row r="84" spans="2:5" x14ac:dyDescent="0.35">
      <c r="B84" s="3" t="s">
        <v>33</v>
      </c>
      <c r="C84" s="14">
        <v>-4.1768270868977039E-2</v>
      </c>
      <c r="D84" s="14">
        <v>-0.12974600783123583</v>
      </c>
      <c r="E84" s="14">
        <v>-0.31184223044199294</v>
      </c>
    </row>
    <row r="85" spans="2:5" x14ac:dyDescent="0.35">
      <c r="B85" s="3" t="s">
        <v>34</v>
      </c>
      <c r="C85" s="10">
        <v>-0.57194314036802651</v>
      </c>
      <c r="D85" s="10">
        <v>-5.7655424143346623E-2</v>
      </c>
      <c r="E85" s="10">
        <v>-0.56273016175334978</v>
      </c>
    </row>
    <row r="86" spans="2:5" x14ac:dyDescent="0.35">
      <c r="B86" s="3" t="s">
        <v>35</v>
      </c>
      <c r="C86" s="14">
        <v>-0.2362887180983135</v>
      </c>
      <c r="D86" s="14">
        <v>-0.11888956569621092</v>
      </c>
      <c r="E86" s="14">
        <v>-0.36171092897292695</v>
      </c>
    </row>
    <row r="87" spans="2:5" x14ac:dyDescent="0.35">
      <c r="B87" s="3" t="s">
        <v>36</v>
      </c>
      <c r="C87" s="10">
        <v>-0.6225002516231869</v>
      </c>
      <c r="D87" s="10">
        <v>0.38855450059486307</v>
      </c>
      <c r="E87" s="10">
        <v>-0.59541665595398074</v>
      </c>
    </row>
    <row r="88" spans="2:5" x14ac:dyDescent="0.35">
      <c r="B88" s="3" t="s">
        <v>37</v>
      </c>
      <c r="C88" s="14">
        <v>-0.51814175615269276</v>
      </c>
      <c r="D88" s="14">
        <v>0.98432919603267566</v>
      </c>
      <c r="E88" s="14">
        <v>-0.55422605591590535</v>
      </c>
    </row>
    <row r="89" spans="2:5" x14ac:dyDescent="0.35">
      <c r="B89" s="3" t="s">
        <v>38</v>
      </c>
      <c r="C89" s="10">
        <v>4.8232397533353577</v>
      </c>
      <c r="D89" s="10">
        <v>2.6946393802968265</v>
      </c>
      <c r="E89" s="10">
        <v>4.6679957324004251</v>
      </c>
    </row>
    <row r="90" spans="2:5" x14ac:dyDescent="0.35">
      <c r="B90" s="3" t="s">
        <v>39</v>
      </c>
      <c r="C90" s="14">
        <v>1.5710136508206149</v>
      </c>
      <c r="D90" s="14">
        <v>0.25644232805667377</v>
      </c>
      <c r="E90" s="14">
        <v>1.2420026691535788</v>
      </c>
    </row>
    <row r="91" spans="2:5" x14ac:dyDescent="0.35">
      <c r="B91" s="3" t="s">
        <v>40</v>
      </c>
      <c r="C91" s="10">
        <v>0.9696645781658445</v>
      </c>
      <c r="D91" s="10">
        <v>0.39723389060445147</v>
      </c>
      <c r="E91" s="10">
        <v>1.5715556905903458</v>
      </c>
    </row>
    <row r="92" spans="2:5" x14ac:dyDescent="0.35">
      <c r="B92" s="3" t="s">
        <v>41</v>
      </c>
      <c r="C92" s="14">
        <v>-0.3659664460964247</v>
      </c>
      <c r="D92" s="14">
        <v>2.3862327487478634</v>
      </c>
      <c r="E92" s="14">
        <v>-0.27879208057782845</v>
      </c>
    </row>
    <row r="93" spans="2:5" x14ac:dyDescent="0.35">
      <c r="B93" s="3" t="s">
        <v>42</v>
      </c>
      <c r="C93" s="10">
        <v>1.5382577634484866</v>
      </c>
      <c r="D93" s="10">
        <v>-1.0675483353272633E-2</v>
      </c>
      <c r="E93" s="10">
        <v>1.8937771991326453</v>
      </c>
    </row>
    <row r="94" spans="2:5" x14ac:dyDescent="0.35">
      <c r="B94" s="3" t="s">
        <v>43</v>
      </c>
      <c r="C94" s="14">
        <v>2.1658632711558948E-2</v>
      </c>
      <c r="D94" s="14">
        <v>0.34017909755714504</v>
      </c>
      <c r="E94" s="14">
        <v>-0.20001157009503057</v>
      </c>
    </row>
    <row r="95" spans="2:5" x14ac:dyDescent="0.35">
      <c r="B95" s="3" t="s">
        <v>44</v>
      </c>
      <c r="C95" s="10">
        <v>-0.33063400110400676</v>
      </c>
      <c r="D95" s="10">
        <v>0.75767848141894834</v>
      </c>
      <c r="E95" s="10">
        <v>-7.4657061717718243E-2</v>
      </c>
    </row>
    <row r="96" spans="2:5" x14ac:dyDescent="0.35">
      <c r="B96" s="3" t="s">
        <v>45</v>
      </c>
      <c r="C96" s="14">
        <v>-0.37414669116116378</v>
      </c>
      <c r="D96" s="14">
        <v>-0.886177045046602</v>
      </c>
      <c r="E96" s="14">
        <v>-0.36039496490017875</v>
      </c>
    </row>
    <row r="97" spans="2:5" x14ac:dyDescent="0.35">
      <c r="B97" s="3" t="s">
        <v>46</v>
      </c>
      <c r="C97" s="10">
        <v>-0.37878781500795206</v>
      </c>
      <c r="D97" s="10">
        <v>-1.4111649177498882</v>
      </c>
      <c r="E97" s="10">
        <v>-0.32448893362156767</v>
      </c>
    </row>
    <row r="98" spans="2:5" x14ac:dyDescent="0.35">
      <c r="B98" s="3" t="s">
        <v>47</v>
      </c>
      <c r="C98" s="14">
        <v>-0.35621969430672978</v>
      </c>
      <c r="D98" s="14">
        <v>-0.43667695186613414</v>
      </c>
      <c r="E98" s="14">
        <v>-0.25693349052318815</v>
      </c>
    </row>
    <row r="99" spans="2:5" x14ac:dyDescent="0.35">
      <c r="B99" s="3" t="s">
        <v>48</v>
      </c>
      <c r="C99" s="10">
        <v>-0.38379458845401404</v>
      </c>
      <c r="D99" s="10">
        <v>1.6562565335319968E-2</v>
      </c>
      <c r="E99" s="10">
        <v>-0.33260523583708318</v>
      </c>
    </row>
    <row r="100" spans="2:5" x14ac:dyDescent="0.35">
      <c r="B100" s="3" t="s">
        <v>49</v>
      </c>
      <c r="C100" s="14">
        <v>-0.25202032564616417</v>
      </c>
      <c r="D100" s="14">
        <v>-5.8181982286428735E-2</v>
      </c>
      <c r="E100" s="14">
        <v>-0.19329537944957678</v>
      </c>
    </row>
    <row r="101" spans="2:5" x14ac:dyDescent="0.35">
      <c r="B101" s="3" t="s">
        <v>50</v>
      </c>
      <c r="C101" s="10">
        <v>3.2269500298264919E-2</v>
      </c>
      <c r="D101" s="10">
        <v>1.5703166437035943</v>
      </c>
      <c r="E101" s="10">
        <v>0.31653404405562824</v>
      </c>
    </row>
    <row r="102" spans="2:5" x14ac:dyDescent="0.35">
      <c r="B102" s="3" t="s">
        <v>51</v>
      </c>
      <c r="C102" s="14">
        <v>-0.60554799660666503</v>
      </c>
      <c r="D102" s="14">
        <v>0.30468238213049292</v>
      </c>
      <c r="E102" s="14">
        <v>-0.56688611393596355</v>
      </c>
    </row>
    <row r="103" spans="2:5" x14ac:dyDescent="0.35">
      <c r="B103" s="3" t="s">
        <v>52</v>
      </c>
      <c r="C103" s="10">
        <v>-0.44577181111002356</v>
      </c>
      <c r="D103" s="10">
        <v>0.54784501544747499</v>
      </c>
      <c r="E103" s="10">
        <v>-0.15968714301581072</v>
      </c>
    </row>
    <row r="104" spans="2:5" x14ac:dyDescent="0.35">
      <c r="B104" s="3" t="s">
        <v>53</v>
      </c>
      <c r="C104" s="14">
        <v>-0.46725218173225913</v>
      </c>
      <c r="D104" s="14">
        <v>-0.50366657851993391</v>
      </c>
      <c r="E104" s="14">
        <v>-0.4877350833872412</v>
      </c>
    </row>
    <row r="105" spans="2:5" x14ac:dyDescent="0.35">
      <c r="B105" s="3" t="s">
        <v>54</v>
      </c>
      <c r="C105" s="10">
        <v>-2.8570876147982149E-2</v>
      </c>
      <c r="D105" s="10">
        <v>0.26029485107149986</v>
      </c>
      <c r="E105" s="10">
        <v>-7.7712081600735311E-2</v>
      </c>
    </row>
    <row r="106" spans="2:5" x14ac:dyDescent="0.35">
      <c r="B106" s="3" t="s">
        <v>55</v>
      </c>
      <c r="C106" s="14">
        <v>-0.39985828845772098</v>
      </c>
      <c r="D106" s="14">
        <v>0.15122668639696912</v>
      </c>
      <c r="E106" s="14">
        <v>-0.39334930617714325</v>
      </c>
    </row>
    <row r="107" spans="2:5" x14ac:dyDescent="0.35">
      <c r="B107" s="3" t="s">
        <v>56</v>
      </c>
      <c r="C107" s="10">
        <v>-0.68268382222945079</v>
      </c>
      <c r="D107" s="10">
        <v>-1.0175711901024165</v>
      </c>
      <c r="E107" s="10">
        <v>-0.6077961244437956</v>
      </c>
    </row>
    <row r="108" spans="2:5" x14ac:dyDescent="0.35">
      <c r="B108" s="3" t="s">
        <v>57</v>
      </c>
      <c r="C108" s="14">
        <v>-0.66175961849987508</v>
      </c>
      <c r="D108" s="14">
        <v>-1.5306289878492181</v>
      </c>
      <c r="E108" s="14">
        <v>-0.61316684808610455</v>
      </c>
    </row>
    <row r="109" spans="2:5" x14ac:dyDescent="0.35">
      <c r="B109" s="3" t="s">
        <v>58</v>
      </c>
      <c r="C109" s="10">
        <v>-0.56213839956521783</v>
      </c>
      <c r="D109" s="10">
        <v>-0.9090401806963434</v>
      </c>
      <c r="E109" s="10">
        <v>-0.380346628384231</v>
      </c>
    </row>
    <row r="110" spans="2:5" x14ac:dyDescent="0.35">
      <c r="B110" s="3" t="s">
        <v>59</v>
      </c>
      <c r="C110" s="14">
        <v>-0.56460986768592569</v>
      </c>
      <c r="D110" s="14">
        <v>-0.71347026324048635</v>
      </c>
      <c r="E110" s="14">
        <v>-0.60743452210708115</v>
      </c>
    </row>
    <row r="111" spans="2:5" x14ac:dyDescent="0.35">
      <c r="B111" s="3" t="s">
        <v>60</v>
      </c>
      <c r="C111" s="10">
        <v>-0.10755362701485099</v>
      </c>
      <c r="D111" s="10">
        <v>-1.5894975158525801</v>
      </c>
      <c r="E111" s="10">
        <v>-0.58584567397155141</v>
      </c>
    </row>
    <row r="112" spans="2:5" x14ac:dyDescent="0.35">
      <c r="B112" s="3" t="s">
        <v>61</v>
      </c>
      <c r="C112" s="14">
        <v>0.21968274242849403</v>
      </c>
      <c r="D112" s="14">
        <v>-2.2400065660931325</v>
      </c>
      <c r="E112" s="14">
        <v>-0.12261368011401723</v>
      </c>
    </row>
    <row r="113" spans="2:5" ht="10" customHeight="1" x14ac:dyDescent="0.35"/>
    <row r="115" spans="2:5" x14ac:dyDescent="0.35">
      <c r="B115" s="1" t="s">
        <v>62</v>
      </c>
    </row>
    <row r="116" spans="2:5" ht="5" customHeight="1" x14ac:dyDescent="0.35"/>
    <row r="117" spans="2:5" x14ac:dyDescent="0.35">
      <c r="B117" s="4" t="s">
        <v>4</v>
      </c>
      <c r="C117" s="3" t="s">
        <v>5</v>
      </c>
      <c r="D117" s="3" t="s">
        <v>6</v>
      </c>
      <c r="E117" s="3" t="s">
        <v>7</v>
      </c>
    </row>
    <row r="118" spans="2:5" x14ac:dyDescent="0.35">
      <c r="B118" s="3" t="s">
        <v>5</v>
      </c>
      <c r="C118" s="10">
        <v>1</v>
      </c>
      <c r="D118" s="10">
        <v>0.43633640784352329</v>
      </c>
      <c r="E118" s="10">
        <v>0.9762722074882435</v>
      </c>
    </row>
    <row r="119" spans="2:5" x14ac:dyDescent="0.35">
      <c r="B119" s="3" t="s">
        <v>6</v>
      </c>
      <c r="C119" s="14">
        <v>0.43633640784352329</v>
      </c>
      <c r="D119" s="14">
        <v>1</v>
      </c>
      <c r="E119" s="14">
        <v>0.48675011583570366</v>
      </c>
    </row>
    <row r="120" spans="2:5" x14ac:dyDescent="0.35">
      <c r="B120" s="3" t="s">
        <v>7</v>
      </c>
      <c r="C120" s="10">
        <v>0.9762722074882435</v>
      </c>
      <c r="D120" s="10">
        <v>0.48675011583570366</v>
      </c>
      <c r="E120" s="10">
        <v>1.0000000000000002</v>
      </c>
    </row>
    <row r="121" spans="2:5" ht="10" customHeight="1" x14ac:dyDescent="0.35"/>
    <row r="123" spans="2:5" x14ac:dyDescent="0.35">
      <c r="B123" s="1" t="s">
        <v>63</v>
      </c>
    </row>
    <row r="124" spans="2:5" ht="5" customHeight="1" x14ac:dyDescent="0.35"/>
    <row r="125" spans="2:5" x14ac:dyDescent="0.35">
      <c r="B125" s="4" t="s">
        <v>4</v>
      </c>
      <c r="C125" s="3" t="s">
        <v>5</v>
      </c>
      <c r="D125" s="3" t="s">
        <v>6</v>
      </c>
      <c r="E125" s="3" t="s">
        <v>7</v>
      </c>
    </row>
    <row r="126" spans="2:5" x14ac:dyDescent="0.35">
      <c r="B126" s="3" t="s">
        <v>5</v>
      </c>
      <c r="C126" s="10">
        <v>1</v>
      </c>
      <c r="D126" s="10">
        <v>0.43633640784352329</v>
      </c>
      <c r="E126" s="10">
        <v>0.97627220748824306</v>
      </c>
    </row>
    <row r="127" spans="2:5" x14ac:dyDescent="0.35">
      <c r="B127" s="3" t="s">
        <v>6</v>
      </c>
      <c r="C127" s="14">
        <v>0.43633640784352329</v>
      </c>
      <c r="D127" s="14">
        <v>1</v>
      </c>
      <c r="E127" s="14">
        <v>0.48675011583570332</v>
      </c>
    </row>
    <row r="128" spans="2:5" x14ac:dyDescent="0.35">
      <c r="B128" s="3" t="s">
        <v>7</v>
      </c>
      <c r="C128" s="10">
        <v>0.97627220748824306</v>
      </c>
      <c r="D128" s="10">
        <v>0.48675011583570332</v>
      </c>
      <c r="E128" s="10">
        <v>0.99999999999999956</v>
      </c>
    </row>
    <row r="129" spans="2:21" ht="10" customHeight="1" x14ac:dyDescent="0.35"/>
    <row r="131" spans="2:21" x14ac:dyDescent="0.35">
      <c r="B131" s="1" t="s">
        <v>64</v>
      </c>
    </row>
    <row r="132" spans="2:21" ht="5" customHeight="1" x14ac:dyDescent="0.35"/>
    <row r="133" spans="2:21" x14ac:dyDescent="0.35">
      <c r="B133" s="4" t="s">
        <v>4</v>
      </c>
      <c r="C133" s="3" t="s">
        <v>65</v>
      </c>
      <c r="D133" s="3" t="s">
        <v>66</v>
      </c>
      <c r="E133" s="3" t="s">
        <v>67</v>
      </c>
      <c r="F133" s="3" t="s">
        <v>68</v>
      </c>
      <c r="G133" s="3" t="s">
        <v>69</v>
      </c>
      <c r="H133" s="3" t="s">
        <v>70</v>
      </c>
      <c r="I133" s="3" t="s">
        <v>71</v>
      </c>
      <c r="J133" s="3" t="s">
        <v>72</v>
      </c>
    </row>
    <row r="134" spans="2:21" x14ac:dyDescent="0.35">
      <c r="B134" s="3" t="s">
        <v>5</v>
      </c>
      <c r="C134" s="10">
        <v>7.3470641335488301E-18</v>
      </c>
      <c r="D134" s="10">
        <v>-0.33063400110400676</v>
      </c>
      <c r="E134" s="10">
        <v>-0.68268382222945079</v>
      </c>
      <c r="F134" s="10">
        <v>4.8232397533353577</v>
      </c>
      <c r="G134" s="10">
        <v>1</v>
      </c>
      <c r="H134" s="10">
        <v>15.717809502978191</v>
      </c>
      <c r="I134" s="10">
        <v>3.6417673541851379</v>
      </c>
      <c r="J134" s="10">
        <v>34</v>
      </c>
    </row>
    <row r="135" spans="2:21" x14ac:dyDescent="0.35">
      <c r="B135" s="3" t="s">
        <v>6</v>
      </c>
      <c r="C135" s="14">
        <v>-1.8024797340973129E-15</v>
      </c>
      <c r="D135" s="14">
        <v>6.9868880371234537E-2</v>
      </c>
      <c r="E135" s="14">
        <v>-2.2400065660931325</v>
      </c>
      <c r="F135" s="14">
        <v>2.6946393802968265</v>
      </c>
      <c r="G135" s="14">
        <v>1</v>
      </c>
      <c r="H135" s="14">
        <v>1.381962867201572</v>
      </c>
      <c r="I135" s="14">
        <v>0.43607583979183978</v>
      </c>
      <c r="J135" s="14">
        <v>34</v>
      </c>
    </row>
    <row r="136" spans="2:21" x14ac:dyDescent="0.35">
      <c r="B136" s="3" t="s">
        <v>7</v>
      </c>
      <c r="C136" s="10">
        <v>-7.9593194780112326E-17</v>
      </c>
      <c r="D136" s="10">
        <v>-0.29139493475995915</v>
      </c>
      <c r="E136" s="10">
        <v>-0.61316684808610455</v>
      </c>
      <c r="F136" s="10">
        <v>4.6679957324004251</v>
      </c>
      <c r="G136" s="10">
        <v>0.99999999999999978</v>
      </c>
      <c r="H136" s="10">
        <v>13.738243825937626</v>
      </c>
      <c r="I136" s="10">
        <v>3.4519286661466397</v>
      </c>
      <c r="J136" s="10">
        <v>34</v>
      </c>
    </row>
    <row r="137" spans="2:21" ht="10" customHeight="1" x14ac:dyDescent="0.35"/>
    <row r="139" spans="2:21" ht="15.5" x14ac:dyDescent="0.35">
      <c r="B139" s="20" t="s">
        <v>73</v>
      </c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</row>
    <row r="140" spans="2:21" ht="5" customHeight="1" x14ac:dyDescent="0.35"/>
    <row r="142" spans="2:21" x14ac:dyDescent="0.35">
      <c r="B142" s="1" t="s">
        <v>74</v>
      </c>
    </row>
    <row r="143" spans="2:21" ht="5" customHeight="1" x14ac:dyDescent="0.35"/>
    <row r="144" spans="2:21" x14ac:dyDescent="0.35">
      <c r="B144" s="4" t="s">
        <v>27</v>
      </c>
      <c r="C144" s="3" t="s">
        <v>14</v>
      </c>
      <c r="D144" s="3" t="s">
        <v>15</v>
      </c>
      <c r="E144" s="3" t="s">
        <v>16</v>
      </c>
      <c r="F144" s="3" t="s">
        <v>17</v>
      </c>
      <c r="G144" s="3" t="s">
        <v>18</v>
      </c>
      <c r="H144" s="3" t="s">
        <v>19</v>
      </c>
      <c r="I144" s="3" t="s">
        <v>20</v>
      </c>
      <c r="J144" s="3" t="s">
        <v>21</v>
      </c>
      <c r="K144" s="3" t="s">
        <v>22</v>
      </c>
      <c r="L144" s="3" t="s">
        <v>23</v>
      </c>
      <c r="M144" s="3" t="s">
        <v>24</v>
      </c>
    </row>
    <row r="145" spans="2:13" x14ac:dyDescent="0.35">
      <c r="B145" s="3" t="s">
        <v>28</v>
      </c>
      <c r="C145" s="10">
        <v>0.20231116808640537</v>
      </c>
      <c r="D145" s="10">
        <v>-0.17628098602946898</v>
      </c>
      <c r="E145" s="10">
        <v>0.39359052982880244</v>
      </c>
      <c r="F145" s="10">
        <v>-0.43077610791905652</v>
      </c>
      <c r="G145" s="10">
        <v>0.38159337208903449</v>
      </c>
      <c r="H145" s="10">
        <v>-0.1017145323349882</v>
      </c>
      <c r="I145" s="10">
        <v>0.38425188498952173</v>
      </c>
      <c r="J145" s="10">
        <v>-0.36817727498319303</v>
      </c>
      <c r="K145" s="10">
        <v>-0.46197627592402046</v>
      </c>
      <c r="L145" s="10">
        <v>1.2385047284415178</v>
      </c>
      <c r="M145" s="10">
        <v>-0.35281860247718572</v>
      </c>
    </row>
    <row r="146" spans="2:13" x14ac:dyDescent="0.35">
      <c r="B146" s="3" t="s">
        <v>29</v>
      </c>
      <c r="C146" s="14">
        <v>-0.16090489431680366</v>
      </c>
      <c r="D146" s="14">
        <v>0.21614099349755567</v>
      </c>
      <c r="E146" s="14">
        <v>-9.7532442671527497E-2</v>
      </c>
      <c r="F146" s="14">
        <v>8.9350624418089053E-2</v>
      </c>
      <c r="G146" s="14">
        <v>1.097632409159699</v>
      </c>
      <c r="H146" s="14">
        <v>-6.5132273453405443E-3</v>
      </c>
      <c r="I146" s="14">
        <v>-0.59402849894548393</v>
      </c>
      <c r="J146" s="14">
        <v>-3.5687149919126422E-2</v>
      </c>
      <c r="K146" s="14">
        <v>-0.44575001335612918</v>
      </c>
      <c r="L146" s="14">
        <v>0.96546653837377439</v>
      </c>
      <c r="M146" s="14">
        <v>-0.35053295524779837</v>
      </c>
    </row>
    <row r="147" spans="2:13" x14ac:dyDescent="0.35">
      <c r="B147" s="3" t="s">
        <v>30</v>
      </c>
      <c r="C147" s="10">
        <v>3.5802561536557191E-2</v>
      </c>
      <c r="D147" s="10">
        <v>-0.20941644352084243</v>
      </c>
      <c r="E147" s="10">
        <v>-3.3408913237459731E-2</v>
      </c>
      <c r="F147" s="10">
        <v>0.14728671646659341</v>
      </c>
      <c r="G147" s="10">
        <v>4.7471540795461953E-2</v>
      </c>
      <c r="H147" s="10">
        <v>-0.3555910299764371</v>
      </c>
      <c r="I147" s="10">
        <v>8.0893501016734329E-2</v>
      </c>
      <c r="J147" s="10">
        <v>-2.6324026603227024E-2</v>
      </c>
      <c r="K147" s="10">
        <v>5.3083029462413417E-2</v>
      </c>
      <c r="L147" s="10">
        <v>0.7777531954197795</v>
      </c>
      <c r="M147" s="10">
        <v>-9.9958321328454003E-2</v>
      </c>
    </row>
    <row r="148" spans="2:13" x14ac:dyDescent="0.35">
      <c r="B148" s="3" t="s">
        <v>31</v>
      </c>
      <c r="C148" s="14">
        <v>7.5282314299093475E-2</v>
      </c>
      <c r="D148" s="14">
        <v>-9.2417064509165966E-2</v>
      </c>
      <c r="E148" s="14">
        <v>-3.6496347761424117E-2</v>
      </c>
      <c r="F148" s="14">
        <v>2.7545013461580579E-2</v>
      </c>
      <c r="G148" s="14">
        <v>8.9054796079670664E-2</v>
      </c>
      <c r="H148" s="14">
        <v>0.16906744321753181</v>
      </c>
      <c r="I148" s="14">
        <v>7.214888353632426E-2</v>
      </c>
      <c r="J148" s="14">
        <v>4.1072799549808602E-2</v>
      </c>
      <c r="K148" s="14">
        <v>-0.21423517411078857</v>
      </c>
      <c r="L148" s="14">
        <v>3.2650306053004785E-2</v>
      </c>
      <c r="M148" s="14">
        <v>-0.20293078240076726</v>
      </c>
    </row>
    <row r="149" spans="2:13" x14ac:dyDescent="0.35">
      <c r="B149" s="3" t="s">
        <v>32</v>
      </c>
      <c r="C149" s="10">
        <v>5.4756169880348926E-3</v>
      </c>
      <c r="D149" s="10">
        <v>-0.16519211027514163</v>
      </c>
      <c r="E149" s="10">
        <v>4.7196703025810388E-3</v>
      </c>
      <c r="F149" s="10">
        <v>0.10956912466980606</v>
      </c>
      <c r="G149" s="10">
        <v>-0.23616091348353524</v>
      </c>
      <c r="H149" s="10">
        <v>0.26295901348711104</v>
      </c>
      <c r="I149" s="10">
        <v>7.0046296870876407E-2</v>
      </c>
      <c r="J149" s="10">
        <v>5.5556549637998651E-2</v>
      </c>
      <c r="K149" s="10">
        <v>-0.14242132386653694</v>
      </c>
      <c r="L149" s="10">
        <v>-0.35547139566862773</v>
      </c>
      <c r="M149" s="10">
        <v>8.3670286712833775E-2</v>
      </c>
    </row>
    <row r="150" spans="2:13" x14ac:dyDescent="0.35">
      <c r="B150" s="3" t="s">
        <v>33</v>
      </c>
      <c r="C150" s="14">
        <v>-0.20746926331982177</v>
      </c>
      <c r="D150" s="14">
        <v>0.14167591180504002</v>
      </c>
      <c r="E150" s="14">
        <v>0.29193385418151885</v>
      </c>
      <c r="F150" s="14">
        <v>-0.17057728790099369</v>
      </c>
      <c r="G150" s="14">
        <v>-2.4568600929478199E-2</v>
      </c>
      <c r="H150" s="14">
        <v>4.1028114722285305E-2</v>
      </c>
      <c r="I150" s="14">
        <v>-4.8489093474053224E-2</v>
      </c>
      <c r="J150" s="14">
        <v>0.18118491838966219</v>
      </c>
      <c r="K150" s="14">
        <v>0.26967733838990793</v>
      </c>
      <c r="L150" s="14">
        <v>-0.67701173948697047</v>
      </c>
      <c r="M150" s="14">
        <v>-0.1247044169348136</v>
      </c>
    </row>
    <row r="151" spans="2:13" x14ac:dyDescent="0.35">
      <c r="B151" s="3" t="s">
        <v>34</v>
      </c>
      <c r="C151" s="10">
        <v>6.5361266962690429E-2</v>
      </c>
      <c r="D151" s="10">
        <v>-0.23790755303325839</v>
      </c>
      <c r="E151" s="10">
        <v>-3.1580681726804144E-2</v>
      </c>
      <c r="F151" s="10">
        <v>0.13759634411380001</v>
      </c>
      <c r="G151" s="10">
        <v>-0.23224192679301092</v>
      </c>
      <c r="H151" s="10">
        <v>-0.24146873782554187</v>
      </c>
      <c r="I151" s="10">
        <v>0.11698356649184508</v>
      </c>
      <c r="J151" s="10">
        <v>6.0731010823139933E-2</v>
      </c>
      <c r="K151" s="10">
        <v>5.1312655007297286E-2</v>
      </c>
      <c r="L151" s="10">
        <v>0.49563722193014254</v>
      </c>
      <c r="M151" s="10">
        <v>2.5102080078595823E-2</v>
      </c>
    </row>
    <row r="152" spans="2:13" x14ac:dyDescent="0.35">
      <c r="B152" s="3" t="s">
        <v>35</v>
      </c>
      <c r="C152" s="14">
        <v>-4.332531722774028E-2</v>
      </c>
      <c r="D152" s="14">
        <v>-7.6486556158723795E-2</v>
      </c>
      <c r="E152" s="14">
        <v>4.4593934544372528E-2</v>
      </c>
      <c r="F152" s="14">
        <v>5.5998986003770235E-2</v>
      </c>
      <c r="G152" s="14">
        <v>-0.28680924113567569</v>
      </c>
      <c r="H152" s="14">
        <v>0.33683747073469972</v>
      </c>
      <c r="I152" s="14">
        <v>0.16288895668937448</v>
      </c>
      <c r="J152" s="14">
        <v>0.14420632376051268</v>
      </c>
      <c r="K152" s="14">
        <v>-7.4935419301387279E-2</v>
      </c>
      <c r="L152" s="14">
        <v>-0.68424297069147721</v>
      </c>
      <c r="M152" s="14">
        <v>-6.4085481796955418E-2</v>
      </c>
    </row>
    <row r="153" spans="2:13" x14ac:dyDescent="0.35">
      <c r="B153" s="3" t="s">
        <v>36</v>
      </c>
      <c r="C153" s="10">
        <v>8.6544257908692523E-2</v>
      </c>
      <c r="D153" s="10">
        <v>-0.1859322988919172</v>
      </c>
      <c r="E153" s="10">
        <v>-5.8858013237265555E-2</v>
      </c>
      <c r="F153" s="10">
        <v>0.10473752780927054</v>
      </c>
      <c r="G153" s="10">
        <v>-0.26778647684988638</v>
      </c>
      <c r="H153" s="10">
        <v>-9.7467829026256392E-2</v>
      </c>
      <c r="I153" s="10">
        <v>3.7782802892330811E-2</v>
      </c>
      <c r="J153" s="10">
        <v>0.104348495053549</v>
      </c>
      <c r="K153" s="10">
        <v>0.79900837307882222</v>
      </c>
      <c r="L153" s="10">
        <v>-1.4571902813151127</v>
      </c>
      <c r="M153" s="10">
        <v>9.3344395336097286E-2</v>
      </c>
    </row>
    <row r="154" spans="2:13" x14ac:dyDescent="0.35">
      <c r="B154" s="3" t="s">
        <v>37</v>
      </c>
      <c r="C154" s="14">
        <v>0.154967202205787</v>
      </c>
      <c r="D154" s="14">
        <v>-0.20470513402406931</v>
      </c>
      <c r="E154" s="14">
        <v>-5.3606778961001827E-2</v>
      </c>
      <c r="F154" s="14">
        <v>4.7321891045320363E-2</v>
      </c>
      <c r="G154" s="14">
        <v>-0.32394936659020612</v>
      </c>
      <c r="H154" s="14">
        <v>-0.85225624601524597</v>
      </c>
      <c r="I154" s="14">
        <v>8.0708755370353574E-2</v>
      </c>
      <c r="J154" s="14">
        <v>0.12189430029698323</v>
      </c>
      <c r="K154" s="14">
        <v>0.90473761773484407</v>
      </c>
      <c r="L154" s="14">
        <v>0.20848372937265325</v>
      </c>
      <c r="M154" s="14">
        <v>8.0916875047629955E-2</v>
      </c>
    </row>
    <row r="155" spans="2:13" x14ac:dyDescent="0.35">
      <c r="B155" s="3" t="s">
        <v>38</v>
      </c>
      <c r="C155" s="10">
        <v>0.42142428568068135</v>
      </c>
      <c r="D155" s="10">
        <v>-1.8522910813037363</v>
      </c>
      <c r="E155" s="10">
        <v>0.65693489340238753</v>
      </c>
      <c r="F155" s="10">
        <v>0.32440337420542642</v>
      </c>
      <c r="G155" s="10">
        <v>-1.2660928453991356</v>
      </c>
      <c r="H155" s="10">
        <v>-1.1357972578243478</v>
      </c>
      <c r="I155" s="10">
        <v>-6.6961624874876557E-2</v>
      </c>
      <c r="J155" s="10">
        <v>7.4161692337751273E-2</v>
      </c>
      <c r="K155" s="10">
        <v>1.3911408285337825</v>
      </c>
      <c r="L155" s="10">
        <v>-0.11693738755240157</v>
      </c>
      <c r="M155" s="10">
        <v>1.158026349390211</v>
      </c>
    </row>
    <row r="156" spans="2:13" x14ac:dyDescent="0.35">
      <c r="B156" s="3" t="s">
        <v>39</v>
      </c>
      <c r="C156" s="14">
        <v>-0.62699428139295166</v>
      </c>
      <c r="D156" s="14">
        <v>2.4921398630424165</v>
      </c>
      <c r="E156" s="14">
        <v>-0.79279625618224969</v>
      </c>
      <c r="F156" s="14">
        <v>-0.46234865619527787</v>
      </c>
      <c r="G156" s="14">
        <v>0.84588449786585052</v>
      </c>
      <c r="H156" s="14">
        <v>0.99915220206509414</v>
      </c>
      <c r="I156" s="14">
        <v>-0.64124255538773456</v>
      </c>
      <c r="J156" s="14">
        <v>0.8883767276531207</v>
      </c>
      <c r="K156" s="14">
        <v>-0.84873331389631845</v>
      </c>
      <c r="L156" s="14">
        <v>-0.69572196520305363</v>
      </c>
      <c r="M156" s="14">
        <v>-1.0799046353636048</v>
      </c>
    </row>
    <row r="157" spans="2:13" x14ac:dyDescent="0.35">
      <c r="B157" s="3" t="s">
        <v>40</v>
      </c>
      <c r="C157" s="10">
        <v>-0.28039010971193701</v>
      </c>
      <c r="D157" s="10">
        <v>1.1132242755625428</v>
      </c>
      <c r="E157" s="10">
        <v>-0.75180288992777067</v>
      </c>
      <c r="F157" s="10">
        <v>0.15999291045307373</v>
      </c>
      <c r="G157" s="10">
        <v>1.2922849371776879</v>
      </c>
      <c r="H157" s="10">
        <v>1.400536523578215</v>
      </c>
      <c r="I157" s="10">
        <v>-3.9407202522312224E-2</v>
      </c>
      <c r="J157" s="10">
        <v>-0.43003477653489941</v>
      </c>
      <c r="K157" s="10">
        <v>-1.0660509096108051</v>
      </c>
      <c r="L157" s="10">
        <v>-1.2384809678107984</v>
      </c>
      <c r="M157" s="10">
        <v>-0.68101883204347047</v>
      </c>
    </row>
    <row r="158" spans="2:13" x14ac:dyDescent="0.35">
      <c r="B158" s="3" t="s">
        <v>41</v>
      </c>
      <c r="C158" s="14">
        <v>-1.8106167999651326E-2</v>
      </c>
      <c r="D158" s="14">
        <v>-0.13328831114430753</v>
      </c>
      <c r="E158" s="14">
        <v>4.2953948845208617E-2</v>
      </c>
      <c r="F158" s="14">
        <v>7.4126254254642504E-2</v>
      </c>
      <c r="G158" s="14">
        <v>6.9440555041519469E-2</v>
      </c>
      <c r="H158" s="14">
        <v>-5.690085449877702E-2</v>
      </c>
      <c r="I158" s="14">
        <v>-0.18727957471545345</v>
      </c>
      <c r="J158" s="14">
        <v>-6.7846066662861887E-2</v>
      </c>
      <c r="K158" s="14">
        <v>-0.29748561534559798</v>
      </c>
      <c r="L158" s="14">
        <v>0.77598734453606166</v>
      </c>
      <c r="M158" s="14">
        <v>0.20680132706909155</v>
      </c>
    </row>
    <row r="159" spans="2:13" x14ac:dyDescent="0.35">
      <c r="B159" s="3" t="s">
        <v>42</v>
      </c>
      <c r="C159" s="10">
        <v>-0.26380623917530044</v>
      </c>
      <c r="D159" s="10">
        <v>1.3850538347384775</v>
      </c>
      <c r="E159" s="10">
        <v>-0.73135320034033624</v>
      </c>
      <c r="F159" s="10">
        <v>-7.1026932821290023E-2</v>
      </c>
      <c r="G159" s="10">
        <v>0.31685806389767512</v>
      </c>
      <c r="H159" s="10">
        <v>0.5252345826464061</v>
      </c>
      <c r="I159" s="10">
        <v>0.81384955077754695</v>
      </c>
      <c r="J159" s="10">
        <v>-0.23148727336031327</v>
      </c>
      <c r="K159" s="10">
        <v>-0.36156552580067514</v>
      </c>
      <c r="L159" s="10">
        <v>-0.54586212414077484</v>
      </c>
      <c r="M159" s="10">
        <v>-0.8937597842291588</v>
      </c>
    </row>
    <row r="160" spans="2:13" x14ac:dyDescent="0.35">
      <c r="B160" s="3" t="s">
        <v>43</v>
      </c>
      <c r="C160" s="14">
        <v>5.7242837040163724E-2</v>
      </c>
      <c r="D160" s="14">
        <v>0.18288724087484795</v>
      </c>
      <c r="E160" s="14">
        <v>-1.7991595032498565E-2</v>
      </c>
      <c r="F160" s="14">
        <v>-0.17072977448844195</v>
      </c>
      <c r="G160" s="14">
        <v>-0.27938053664253254</v>
      </c>
      <c r="H160" s="14">
        <v>-0.31299204649694634</v>
      </c>
      <c r="I160" s="14">
        <v>-0.14676064534989081</v>
      </c>
      <c r="J160" s="14">
        <v>0.53425028281682696</v>
      </c>
      <c r="K160" s="14">
        <v>0.46416985843003045</v>
      </c>
      <c r="L160" s="14">
        <v>-0.20430164363412304</v>
      </c>
      <c r="M160" s="14">
        <v>-0.17268874496099498</v>
      </c>
    </row>
    <row r="161" spans="2:13" x14ac:dyDescent="0.35">
      <c r="B161" s="3" t="s">
        <v>44</v>
      </c>
      <c r="C161" s="10">
        <v>3.1003705706074011E-2</v>
      </c>
      <c r="D161" s="10">
        <v>-1.0819842323711769E-2</v>
      </c>
      <c r="E161" s="10">
        <v>-9.1402036502377715E-2</v>
      </c>
      <c r="F161" s="10">
        <v>6.2018273863923223E-2</v>
      </c>
      <c r="G161" s="10">
        <v>0.46963408985659788</v>
      </c>
      <c r="H161" s="10">
        <v>0.19681273195467319</v>
      </c>
      <c r="I161" s="10">
        <v>-0.15967769391283465</v>
      </c>
      <c r="J161" s="10">
        <v>-9.1302318329570128E-2</v>
      </c>
      <c r="K161" s="10">
        <v>-0.17631830523656181</v>
      </c>
      <c r="L161" s="10">
        <v>-0.11759156867358783</v>
      </c>
      <c r="M161" s="10">
        <v>-0.1659762041135856</v>
      </c>
    </row>
    <row r="162" spans="2:13" x14ac:dyDescent="0.35">
      <c r="B162" s="3" t="s">
        <v>45</v>
      </c>
      <c r="C162" s="14">
        <v>2.5870596316210095E-2</v>
      </c>
      <c r="D162" s="14">
        <v>-0.13222606829168287</v>
      </c>
      <c r="E162" s="14">
        <v>2.1024038738469378E-2</v>
      </c>
      <c r="F162" s="14">
        <v>5.1054384800186509E-2</v>
      </c>
      <c r="G162" s="14">
        <v>-0.13983960732070461</v>
      </c>
      <c r="H162" s="14">
        <v>-0.66444877247162804</v>
      </c>
      <c r="I162" s="14">
        <v>0.15924557611942419</v>
      </c>
      <c r="J162" s="14">
        <v>-3.4962600658387855E-2</v>
      </c>
      <c r="K162" s="14">
        <v>0.75100856414470851</v>
      </c>
      <c r="L162" s="14">
        <v>6.5351023801497654E-2</v>
      </c>
      <c r="M162" s="14">
        <v>1.515404200099213E-4</v>
      </c>
    </row>
    <row r="163" spans="2:13" x14ac:dyDescent="0.35">
      <c r="B163" s="3" t="s">
        <v>46</v>
      </c>
      <c r="C163" s="10">
        <v>5.7261195078337906E-3</v>
      </c>
      <c r="D163" s="10">
        <v>-0.15150806135242917</v>
      </c>
      <c r="E163" s="10">
        <v>5.6125931988368793E-2</v>
      </c>
      <c r="F163" s="10">
        <v>5.2111371814600987E-2</v>
      </c>
      <c r="G163" s="10">
        <v>-0.11915706983645473</v>
      </c>
      <c r="H163" s="10">
        <v>-1.8418402991225824E-2</v>
      </c>
      <c r="I163" s="10">
        <v>-0.11636526224552955</v>
      </c>
      <c r="J163" s="10">
        <v>-0.13774263672618114</v>
      </c>
      <c r="K163" s="10">
        <v>-8.0994759469072364E-2</v>
      </c>
      <c r="L163" s="10">
        <v>0.21860445106183446</v>
      </c>
      <c r="M163" s="10">
        <v>0.3829544911341512</v>
      </c>
    </row>
    <row r="164" spans="2:13" x14ac:dyDescent="0.35">
      <c r="B164" s="3" t="s">
        <v>47</v>
      </c>
      <c r="C164" s="14">
        <v>3.4836162009169072E-2</v>
      </c>
      <c r="D164" s="14">
        <v>-7.1839001563011581E-2</v>
      </c>
      <c r="E164" s="14">
        <v>1.5781176821313969E-3</v>
      </c>
      <c r="F164" s="14">
        <v>1.6720705503208477E-2</v>
      </c>
      <c r="G164" s="14">
        <v>2.836243974726501E-2</v>
      </c>
      <c r="H164" s="14">
        <v>0.6208650887240369</v>
      </c>
      <c r="I164" s="14">
        <v>-9.196212715849765E-2</v>
      </c>
      <c r="J164" s="14">
        <v>-4.1097016905665258E-2</v>
      </c>
      <c r="K164" s="14">
        <v>-0.27786775007430942</v>
      </c>
      <c r="L164" s="14">
        <v>-0.96364484140446049</v>
      </c>
      <c r="M164" s="14">
        <v>0.11536047056823819</v>
      </c>
    </row>
    <row r="165" spans="2:13" x14ac:dyDescent="0.35">
      <c r="B165" s="3" t="s">
        <v>48</v>
      </c>
      <c r="C165" s="10">
        <v>-7.5082113378502541E-2</v>
      </c>
      <c r="D165" s="10">
        <v>-0.18096272750124076</v>
      </c>
      <c r="E165" s="10">
        <v>0.19354068288533685</v>
      </c>
      <c r="F165" s="10">
        <v>2.4915617677453317E-2</v>
      </c>
      <c r="G165" s="10">
        <v>2.282131629931998E-2</v>
      </c>
      <c r="H165" s="10">
        <v>-0.11229416943995964</v>
      </c>
      <c r="I165" s="10">
        <v>-1.8330779514018278E-2</v>
      </c>
      <c r="J165" s="10">
        <v>-5.0143891511698582E-2</v>
      </c>
      <c r="K165" s="10">
        <v>0.32450234999800109</v>
      </c>
      <c r="L165" s="10">
        <v>-0.40966758309488893</v>
      </c>
      <c r="M165" s="10">
        <v>5.3060666291043612E-2</v>
      </c>
    </row>
    <row r="166" spans="2:13" x14ac:dyDescent="0.35">
      <c r="B166" s="3" t="s">
        <v>49</v>
      </c>
      <c r="C166" s="14">
        <v>2.5932159652802593E-2</v>
      </c>
      <c r="D166" s="14">
        <v>-0.15448187115867132</v>
      </c>
      <c r="E166" s="14">
        <v>6.6140052145567924E-2</v>
      </c>
      <c r="F166" s="14">
        <v>2.5507257339537542E-2</v>
      </c>
      <c r="G166" s="14">
        <v>-0.39017986087452028</v>
      </c>
      <c r="H166" s="14">
        <v>-0.49393077833936311</v>
      </c>
      <c r="I166" s="14">
        <v>0.321860963913496</v>
      </c>
      <c r="J166" s="14">
        <v>3.2026297796175635E-3</v>
      </c>
      <c r="K166" s="14">
        <v>0.84235196852506133</v>
      </c>
      <c r="L166" s="14">
        <v>-0.5563110779990067</v>
      </c>
      <c r="M166" s="14">
        <v>1.874409941219457E-2</v>
      </c>
    </row>
    <row r="167" spans="2:13" x14ac:dyDescent="0.35">
      <c r="B167" s="3" t="s">
        <v>50</v>
      </c>
      <c r="C167" s="10">
        <v>4.3701531411442868E-2</v>
      </c>
      <c r="D167" s="10">
        <v>0.13042958777704267</v>
      </c>
      <c r="E167" s="10">
        <v>9.7909483344886139E-2</v>
      </c>
      <c r="F167" s="10">
        <v>-0.22652311136465869</v>
      </c>
      <c r="G167" s="10">
        <v>0.57432070569490412</v>
      </c>
      <c r="H167" s="10">
        <v>0.39251767281495364</v>
      </c>
      <c r="I167" s="10">
        <v>0.23358605613334329</v>
      </c>
      <c r="J167" s="10">
        <v>-0.1616509021067325</v>
      </c>
      <c r="K167" s="10">
        <v>-0.54112052330965088</v>
      </c>
      <c r="L167" s="10">
        <v>0.16893705210249976</v>
      </c>
      <c r="M167" s="10">
        <v>-0.59857910537567582</v>
      </c>
    </row>
    <row r="168" spans="2:13" x14ac:dyDescent="0.35">
      <c r="B168" s="3" t="s">
        <v>51</v>
      </c>
      <c r="C168" s="14">
        <v>0.11346634251048754</v>
      </c>
      <c r="D168" s="14">
        <v>-0.22623058701172802</v>
      </c>
      <c r="E168" s="14">
        <v>3.3887291094193112E-2</v>
      </c>
      <c r="F168" s="14">
        <v>2.2388702420875983E-2</v>
      </c>
      <c r="G168" s="14">
        <v>-0.26620481058645096</v>
      </c>
      <c r="H168" s="14">
        <v>0.76918416123474675</v>
      </c>
      <c r="I168" s="14">
        <v>0.16564220640556226</v>
      </c>
      <c r="J168" s="14">
        <v>2.5497297204269076E-2</v>
      </c>
      <c r="K168" s="14">
        <v>-0.87278794634495949</v>
      </c>
      <c r="L168" s="14">
        <v>-6.8412852530707544E-2</v>
      </c>
      <c r="M168" s="14">
        <v>4.392546609643927E-2</v>
      </c>
    </row>
    <row r="169" spans="2:13" x14ac:dyDescent="0.35">
      <c r="B169" s="3" t="s">
        <v>52</v>
      </c>
      <c r="C169" s="10">
        <v>1.0922101162469541E-2</v>
      </c>
      <c r="D169" s="10">
        <v>-0.24965347832857199</v>
      </c>
      <c r="E169" s="10">
        <v>0.13224451179181806</v>
      </c>
      <c r="F169" s="10">
        <v>4.7815512846156261E-2</v>
      </c>
      <c r="G169" s="10">
        <v>-0.34013497126524117</v>
      </c>
      <c r="H169" s="10">
        <v>0.19173612816087482</v>
      </c>
      <c r="I169" s="10">
        <v>-0.39362614919044581</v>
      </c>
      <c r="J169" s="10">
        <v>-0.28107847215753734</v>
      </c>
      <c r="K169" s="10">
        <v>-0.23598394175587684</v>
      </c>
      <c r="L169" s="10">
        <v>2.2173769547804034E-2</v>
      </c>
      <c r="M169" s="10">
        <v>1.0349830695604152</v>
      </c>
    </row>
    <row r="170" spans="2:13" x14ac:dyDescent="0.35">
      <c r="B170" s="3" t="s">
        <v>53</v>
      </c>
      <c r="C170" s="14">
        <v>9.8580741292221497E-2</v>
      </c>
      <c r="D170" s="14">
        <v>-0.21639136855925734</v>
      </c>
      <c r="E170" s="14">
        <v>-5.3579040387823296E-2</v>
      </c>
      <c r="F170" s="14">
        <v>0.11022363613021705</v>
      </c>
      <c r="G170" s="14">
        <v>-0.22802599090597631</v>
      </c>
      <c r="H170" s="14">
        <v>-0.18491539887496367</v>
      </c>
      <c r="I170" s="14">
        <v>9.0891878470655788E-2</v>
      </c>
      <c r="J170" s="14">
        <v>2.9394958368193461E-2</v>
      </c>
      <c r="K170" s="14">
        <v>-9.7742264281683103E-3</v>
      </c>
      <c r="L170" s="14">
        <v>0.48404080898530455</v>
      </c>
      <c r="M170" s="14">
        <v>8.290421684703142E-2</v>
      </c>
    </row>
    <row r="171" spans="2:13" x14ac:dyDescent="0.35">
      <c r="B171" s="3" t="s">
        <v>54</v>
      </c>
      <c r="C171" s="10">
        <v>-0.16109018429812175</v>
      </c>
      <c r="D171" s="10">
        <v>-4.2365008178334211E-2</v>
      </c>
      <c r="E171" s="10">
        <v>-2.4009571132338439E-2</v>
      </c>
      <c r="F171" s="10">
        <v>0.20836670909860527</v>
      </c>
      <c r="G171" s="10">
        <v>4.1808853579958852E-2</v>
      </c>
      <c r="H171" s="10">
        <v>-1.579587011506375E-2</v>
      </c>
      <c r="I171" s="10">
        <v>-0.15023252116161034</v>
      </c>
      <c r="J171" s="10">
        <v>1.5789953438493591E-2</v>
      </c>
      <c r="K171" s="10">
        <v>8.9540934267558769E-2</v>
      </c>
      <c r="L171" s="10">
        <v>-0.15109254909366918</v>
      </c>
      <c r="M171" s="10">
        <v>0.10187215501698763</v>
      </c>
    </row>
    <row r="172" spans="2:13" x14ac:dyDescent="0.35">
      <c r="B172" s="3" t="s">
        <v>55</v>
      </c>
      <c r="C172" s="14">
        <v>-0.10300582181937398</v>
      </c>
      <c r="D172" s="14">
        <v>-0.30802749458459999</v>
      </c>
      <c r="E172" s="14">
        <v>0.27281410037017856</v>
      </c>
      <c r="F172" s="14">
        <v>7.0591670529810885E-2</v>
      </c>
      <c r="G172" s="14">
        <v>-5.8812052894288092E-2</v>
      </c>
      <c r="H172" s="14">
        <v>0.306377897255044</v>
      </c>
      <c r="I172" s="14">
        <v>-2.8537154877923757E-2</v>
      </c>
      <c r="J172" s="14">
        <v>-7.827376114742135E-2</v>
      </c>
      <c r="K172" s="14">
        <v>-0.5937604026165646</v>
      </c>
      <c r="L172" s="14">
        <v>0.49681209722460018</v>
      </c>
      <c r="M172" s="14">
        <v>0.1699309542597916</v>
      </c>
    </row>
    <row r="173" spans="2:13" x14ac:dyDescent="0.35">
      <c r="B173" s="3" t="s">
        <v>56</v>
      </c>
      <c r="C173" s="10">
        <v>0.12209652670436172</v>
      </c>
      <c r="D173" s="10">
        <v>-0.19291487213175487</v>
      </c>
      <c r="E173" s="10">
        <v>-0.10167785370635063</v>
      </c>
      <c r="F173" s="10">
        <v>0.11485067702770108</v>
      </c>
      <c r="G173" s="10">
        <v>-0.2623454479450093</v>
      </c>
      <c r="H173" s="10">
        <v>7.0252857436659266E-2</v>
      </c>
      <c r="I173" s="10">
        <v>3.3205556233333294E-2</v>
      </c>
      <c r="J173" s="10">
        <v>5.9293958496142288E-2</v>
      </c>
      <c r="K173" s="10">
        <v>-0.10172838035456397</v>
      </c>
      <c r="L173" s="10">
        <v>4.062447011049819E-2</v>
      </c>
      <c r="M173" s="10">
        <v>0.14243870141715892</v>
      </c>
    </row>
    <row r="174" spans="2:13" x14ac:dyDescent="0.35">
      <c r="B174" s="3" t="s">
        <v>57</v>
      </c>
      <c r="C174" s="14">
        <v>0.10631941766738243</v>
      </c>
      <c r="D174" s="14">
        <v>-0.20210954149992116</v>
      </c>
      <c r="E174" s="14">
        <v>-2.0141643564686229E-2</v>
      </c>
      <c r="F174" s="14">
        <v>6.1645450163017923E-2</v>
      </c>
      <c r="G174" s="14">
        <v>-0.22326386284673036</v>
      </c>
      <c r="H174" s="14">
        <v>-0.67892549241055777</v>
      </c>
      <c r="I174" s="14">
        <v>2.7237608568095789E-2</v>
      </c>
      <c r="J174" s="14">
        <v>5.4519822300717002E-2</v>
      </c>
      <c r="K174" s="14">
        <v>0.71141159344594662</v>
      </c>
      <c r="L174" s="14">
        <v>0.18593154356316188</v>
      </c>
      <c r="M174" s="14">
        <v>0.11784970240222464</v>
      </c>
    </row>
    <row r="175" spans="2:13" x14ac:dyDescent="0.35">
      <c r="B175" s="3" t="s">
        <v>58</v>
      </c>
      <c r="C175" s="10">
        <v>6.3047781731473601E-2</v>
      </c>
      <c r="D175" s="10">
        <v>-0.22126091125260891</v>
      </c>
      <c r="E175" s="10">
        <v>1.0778259720181094E-2</v>
      </c>
      <c r="F175" s="10">
        <v>8.8810462906653675E-2</v>
      </c>
      <c r="G175" s="10">
        <v>-0.35777127564630506</v>
      </c>
      <c r="H175" s="10">
        <v>-0.84159082063186363</v>
      </c>
      <c r="I175" s="10">
        <v>-0.19215507348163802</v>
      </c>
      <c r="J175" s="10">
        <v>-0.16039182524729678</v>
      </c>
      <c r="K175" s="10">
        <v>9.9988224649111279E-3</v>
      </c>
      <c r="L175" s="10">
        <v>2.0869631235802544</v>
      </c>
      <c r="M175" s="10">
        <v>0.70762033162058713</v>
      </c>
    </row>
    <row r="176" spans="2:13" x14ac:dyDescent="0.35">
      <c r="B176" s="3" t="s">
        <v>59</v>
      </c>
      <c r="C176" s="14">
        <v>8.9099473911815205E-2</v>
      </c>
      <c r="D176" s="14">
        <v>-0.25661857559440815</v>
      </c>
      <c r="E176" s="14">
        <v>8.8217350016290996E-2</v>
      </c>
      <c r="F176" s="14">
        <v>1.7833261346467011E-2</v>
      </c>
      <c r="G176" s="14">
        <v>-0.29267584893972143</v>
      </c>
      <c r="H176" s="14">
        <v>-7.7611844855089734E-2</v>
      </c>
      <c r="I176" s="14">
        <v>0.10635098688695152</v>
      </c>
      <c r="J176" s="14">
        <v>5.9219759453312759E-2</v>
      </c>
      <c r="K176" s="14">
        <v>-0.43885369744443525</v>
      </c>
      <c r="L176" s="14">
        <v>1.128889844233697</v>
      </c>
      <c r="M176" s="14">
        <v>9.3714677679936631E-2</v>
      </c>
    </row>
    <row r="177" spans="2:13" x14ac:dyDescent="0.35">
      <c r="B177" s="3" t="s">
        <v>60</v>
      </c>
      <c r="C177" s="10">
        <v>-0.14292235511052367</v>
      </c>
      <c r="D177" s="10">
        <v>0.122100169940245</v>
      </c>
      <c r="E177" s="10">
        <v>0.49320714096217477</v>
      </c>
      <c r="F177" s="10">
        <v>-0.40418742039666683</v>
      </c>
      <c r="G177" s="10">
        <v>-0.1612787072573984</v>
      </c>
      <c r="H177" s="10">
        <v>-0.25117997060492747</v>
      </c>
      <c r="I177" s="10">
        <v>5.7257634063951832E-2</v>
      </c>
      <c r="J177" s="10">
        <v>3.8144279834774267E-2</v>
      </c>
      <c r="K177" s="10">
        <v>0.22271624554290712</v>
      </c>
      <c r="L177" s="10">
        <v>0.15498927353703629</v>
      </c>
      <c r="M177" s="10">
        <v>4.7023764030221349E-2</v>
      </c>
    </row>
    <row r="178" spans="2:13" x14ac:dyDescent="0.35">
      <c r="B178" s="3" t="s">
        <v>61</v>
      </c>
      <c r="C178" s="14">
        <v>0.20808257745887593</v>
      </c>
      <c r="D178" s="14">
        <v>0.1676750709843923</v>
      </c>
      <c r="E178" s="14">
        <v>-5.956527472553666E-3</v>
      </c>
      <c r="F178" s="14">
        <v>-0.31661316928339917</v>
      </c>
      <c r="G178" s="14">
        <v>0.47951183685762072</v>
      </c>
      <c r="H178" s="14">
        <v>0.21725139404615612</v>
      </c>
      <c r="I178" s="14">
        <v>-0.13977670861742292</v>
      </c>
      <c r="J178" s="14">
        <v>-0.29464576634075845</v>
      </c>
      <c r="K178" s="14">
        <v>0.35768332522030544</v>
      </c>
      <c r="L178" s="14">
        <v>-1.3058595735755312</v>
      </c>
      <c r="M178" s="14">
        <v>2.6562245881571148E-2</v>
      </c>
    </row>
    <row r="179" spans="2:13" ht="10" customHeight="1" x14ac:dyDescent="0.35"/>
    <row r="181" spans="2:13" x14ac:dyDescent="0.35">
      <c r="B181" s="1" t="s">
        <v>75</v>
      </c>
    </row>
    <row r="182" spans="2:13" ht="5" customHeight="1" x14ac:dyDescent="0.35"/>
    <row r="183" spans="2:13" x14ac:dyDescent="0.35">
      <c r="B183" s="4" t="s">
        <v>4</v>
      </c>
      <c r="C183" s="3" t="s">
        <v>14</v>
      </c>
      <c r="D183" s="3" t="s">
        <v>15</v>
      </c>
      <c r="E183" s="3" t="s">
        <v>16</v>
      </c>
      <c r="F183" s="3" t="s">
        <v>17</v>
      </c>
      <c r="G183" s="3" t="s">
        <v>18</v>
      </c>
      <c r="H183" s="3" t="s">
        <v>19</v>
      </c>
      <c r="I183" s="3" t="s">
        <v>20</v>
      </c>
      <c r="J183" s="3" t="s">
        <v>21</v>
      </c>
      <c r="K183" s="3" t="s">
        <v>22</v>
      </c>
      <c r="L183" s="3" t="s">
        <v>23</v>
      </c>
      <c r="M183" s="3" t="s">
        <v>24</v>
      </c>
    </row>
    <row r="184" spans="2:13" x14ac:dyDescent="0.35">
      <c r="B184" s="3" t="s">
        <v>14</v>
      </c>
      <c r="C184" s="10">
        <v>1.0000000000000004</v>
      </c>
      <c r="D184" s="10">
        <v>-0.85485739350624779</v>
      </c>
      <c r="E184" s="10">
        <v>0.6232118107995045</v>
      </c>
      <c r="F184" s="10">
        <v>0.31770359332597436</v>
      </c>
      <c r="G184" s="10">
        <v>-0.60880445872111411</v>
      </c>
      <c r="H184" s="10">
        <v>-0.59171918021546455</v>
      </c>
      <c r="I184" s="10">
        <v>0.26621856585210679</v>
      </c>
      <c r="J184" s="10">
        <v>-0.3258071286595316</v>
      </c>
      <c r="K184" s="10">
        <v>0.50909926913237824</v>
      </c>
      <c r="L184" s="10">
        <v>0.23580849775653187</v>
      </c>
      <c r="M184" s="10">
        <v>0.63272091094260441</v>
      </c>
    </row>
    <row r="185" spans="2:13" x14ac:dyDescent="0.35">
      <c r="B185" s="3" t="s">
        <v>15</v>
      </c>
      <c r="C185" s="14">
        <v>-0.85485739350624779</v>
      </c>
      <c r="D185" s="14">
        <v>1.0000000000000004</v>
      </c>
      <c r="E185" s="14">
        <v>-0.82437509560721556</v>
      </c>
      <c r="F185" s="14">
        <v>-0.52832162091359924</v>
      </c>
      <c r="G185" s="14">
        <v>0.72271644246950595</v>
      </c>
      <c r="H185" s="14">
        <v>0.65607894505739284</v>
      </c>
      <c r="I185" s="14">
        <v>-0.11971629485293507</v>
      </c>
      <c r="J185" s="14">
        <v>0.28788970121082641</v>
      </c>
      <c r="K185" s="14">
        <v>-0.53862299589189333</v>
      </c>
      <c r="L185" s="14">
        <v>-0.30167182706738255</v>
      </c>
      <c r="M185" s="14">
        <v>-0.81489906218651587</v>
      </c>
    </row>
    <row r="186" spans="2:13" x14ac:dyDescent="0.35">
      <c r="B186" s="3" t="s">
        <v>16</v>
      </c>
      <c r="C186" s="10">
        <v>0.6232118107995045</v>
      </c>
      <c r="D186" s="10">
        <v>-0.82437509560721556</v>
      </c>
      <c r="E186" s="10">
        <v>1.0000000000000002</v>
      </c>
      <c r="F186" s="10">
        <v>3.6226678643622279E-2</v>
      </c>
      <c r="G186" s="10">
        <v>-0.6066789632200339</v>
      </c>
      <c r="H186" s="10">
        <v>-0.58102499853578393</v>
      </c>
      <c r="I186" s="10">
        <v>4.3455879625981159E-2</v>
      </c>
      <c r="J186" s="10">
        <v>-0.14979849595763492</v>
      </c>
      <c r="K186" s="10">
        <v>0.44959772695186767</v>
      </c>
      <c r="L186" s="10">
        <v>0.30980064246690164</v>
      </c>
      <c r="M186" s="10">
        <v>0.66575592699252961</v>
      </c>
    </row>
    <row r="187" spans="2:13" x14ac:dyDescent="0.35">
      <c r="B187" s="3" t="s">
        <v>17</v>
      </c>
      <c r="C187" s="14">
        <v>0.31770359332597436</v>
      </c>
      <c r="D187" s="14">
        <v>-0.52832162091359924</v>
      </c>
      <c r="E187" s="14">
        <v>3.6226678643622279E-2</v>
      </c>
      <c r="F187" s="14">
        <v>1.0000000000000009</v>
      </c>
      <c r="G187" s="14">
        <v>-0.37417453111131993</v>
      </c>
      <c r="H187" s="14">
        <v>-0.25761733871734749</v>
      </c>
      <c r="I187" s="14">
        <v>-9.9245342081280136E-3</v>
      </c>
      <c r="J187" s="14">
        <v>-0.20674556057117771</v>
      </c>
      <c r="K187" s="14">
        <v>0.23016548603883785</v>
      </c>
      <c r="L187" s="14">
        <v>8.9411777212184101E-2</v>
      </c>
      <c r="M187" s="14">
        <v>0.50006080253345686</v>
      </c>
    </row>
    <row r="188" spans="2:13" x14ac:dyDescent="0.35">
      <c r="B188" s="3" t="s">
        <v>18</v>
      </c>
      <c r="C188" s="10">
        <v>-0.60880445872111411</v>
      </c>
      <c r="D188" s="10">
        <v>0.72271644246950595</v>
      </c>
      <c r="E188" s="10">
        <v>-0.6066789632200339</v>
      </c>
      <c r="F188" s="10">
        <v>-0.37417453111131993</v>
      </c>
      <c r="G188" s="10">
        <v>1</v>
      </c>
      <c r="H188" s="10">
        <v>0.66354122781746572</v>
      </c>
      <c r="I188" s="10">
        <v>-0.2233688904960737</v>
      </c>
      <c r="J188" s="10">
        <v>-0.16520172530549465</v>
      </c>
      <c r="K188" s="10">
        <v>-0.64597260788401989</v>
      </c>
      <c r="L188" s="10">
        <v>-0.14762728050532309</v>
      </c>
      <c r="M188" s="10">
        <v>-0.76302082121696269</v>
      </c>
    </row>
    <row r="189" spans="2:13" x14ac:dyDescent="0.35">
      <c r="B189" s="3" t="s">
        <v>19</v>
      </c>
      <c r="C189" s="14">
        <v>-0.59171918021546455</v>
      </c>
      <c r="D189" s="14">
        <v>0.65607894505739284</v>
      </c>
      <c r="E189" s="14">
        <v>-0.58102499853578393</v>
      </c>
      <c r="F189" s="14">
        <v>-0.25761733871734749</v>
      </c>
      <c r="G189" s="14">
        <v>0.66354122781746572</v>
      </c>
      <c r="H189" s="14">
        <v>1.0000000000000002</v>
      </c>
      <c r="I189" s="14">
        <v>-7.8542984124278417E-2</v>
      </c>
      <c r="J189" s="14">
        <v>-5.0426935885711378E-2</v>
      </c>
      <c r="K189" s="14">
        <v>-0.82105563462504894</v>
      </c>
      <c r="L189" s="14">
        <v>-0.45968145185365544</v>
      </c>
      <c r="M189" s="14">
        <v>-0.5839461981233105</v>
      </c>
    </row>
    <row r="190" spans="2:13" x14ac:dyDescent="0.35">
      <c r="B190" s="3" t="s">
        <v>20</v>
      </c>
      <c r="C190" s="10">
        <v>0.26621856585210679</v>
      </c>
      <c r="D190" s="10">
        <v>-0.11971629485293507</v>
      </c>
      <c r="E190" s="10">
        <v>4.3455879625981159E-2</v>
      </c>
      <c r="F190" s="10">
        <v>-9.9245342081280136E-3</v>
      </c>
      <c r="G190" s="10">
        <v>-0.2233688904960737</v>
      </c>
      <c r="H190" s="10">
        <v>-7.8542984124278417E-2</v>
      </c>
      <c r="I190" s="10">
        <v>0.99999999999999878</v>
      </c>
      <c r="J190" s="10">
        <v>-0.34693659471790073</v>
      </c>
      <c r="K190" s="10">
        <v>0.11380678389300665</v>
      </c>
      <c r="L190" s="10">
        <v>-4.0621557540561903E-2</v>
      </c>
      <c r="M190" s="10">
        <v>-0.19355610682157789</v>
      </c>
    </row>
    <row r="191" spans="2:13" x14ac:dyDescent="0.35">
      <c r="B191" s="3" t="s">
        <v>21</v>
      </c>
      <c r="C191" s="14">
        <v>-0.3258071286595316</v>
      </c>
      <c r="D191" s="14">
        <v>0.28788970121082641</v>
      </c>
      <c r="E191" s="14">
        <v>-0.14979849595763492</v>
      </c>
      <c r="F191" s="14">
        <v>-0.20674556057117771</v>
      </c>
      <c r="G191" s="14">
        <v>-0.16520172530549465</v>
      </c>
      <c r="H191" s="14">
        <v>-5.0426935885711378E-2</v>
      </c>
      <c r="I191" s="14">
        <v>-0.34693659471790073</v>
      </c>
      <c r="J191" s="14">
        <v>0.99999999999999911</v>
      </c>
      <c r="K191" s="14">
        <v>0.15133493534612233</v>
      </c>
      <c r="L191" s="14">
        <v>-0.14784324462716322</v>
      </c>
      <c r="M191" s="14">
        <v>-0.2039631673997265</v>
      </c>
    </row>
    <row r="192" spans="2:13" x14ac:dyDescent="0.35">
      <c r="B192" s="3" t="s">
        <v>22</v>
      </c>
      <c r="C192" s="10">
        <v>0.50909926913237824</v>
      </c>
      <c r="D192" s="10">
        <v>-0.53862299589189333</v>
      </c>
      <c r="E192" s="10">
        <v>0.44959772695186767</v>
      </c>
      <c r="F192" s="10">
        <v>0.23016548603883785</v>
      </c>
      <c r="G192" s="10">
        <v>-0.64597260788401989</v>
      </c>
      <c r="H192" s="10">
        <v>-0.82105563462504894</v>
      </c>
      <c r="I192" s="10">
        <v>0.11380678389300665</v>
      </c>
      <c r="J192" s="10">
        <v>0.15133493534612233</v>
      </c>
      <c r="K192" s="10">
        <v>1.0000000000000002</v>
      </c>
      <c r="L192" s="10">
        <v>-0.12953701574469742</v>
      </c>
      <c r="M192" s="10">
        <v>0.48572059086788333</v>
      </c>
    </row>
    <row r="193" spans="2:13" x14ac:dyDescent="0.35">
      <c r="B193" s="3" t="s">
        <v>23</v>
      </c>
      <c r="C193" s="14">
        <v>0.23580849775653187</v>
      </c>
      <c r="D193" s="14">
        <v>-0.30167182706738255</v>
      </c>
      <c r="E193" s="14">
        <v>0.30980064246690164</v>
      </c>
      <c r="F193" s="14">
        <v>8.9411777212184101E-2</v>
      </c>
      <c r="G193" s="14">
        <v>-0.14762728050532309</v>
      </c>
      <c r="H193" s="14">
        <v>-0.45968145185365544</v>
      </c>
      <c r="I193" s="14">
        <v>-4.0621557540561903E-2</v>
      </c>
      <c r="J193" s="14">
        <v>-0.14784324462716322</v>
      </c>
      <c r="K193" s="14">
        <v>-0.12953701574469742</v>
      </c>
      <c r="L193" s="14">
        <v>0.99999999999999911</v>
      </c>
      <c r="M193" s="14">
        <v>0.25867751275669909</v>
      </c>
    </row>
    <row r="194" spans="2:13" x14ac:dyDescent="0.35">
      <c r="B194" s="3" t="s">
        <v>24</v>
      </c>
      <c r="C194" s="10">
        <v>0.63272091094260441</v>
      </c>
      <c r="D194" s="10">
        <v>-0.81489906218651587</v>
      </c>
      <c r="E194" s="10">
        <v>0.66575592699252961</v>
      </c>
      <c r="F194" s="10">
        <v>0.50006080253345686</v>
      </c>
      <c r="G194" s="10">
        <v>-0.76302082121696269</v>
      </c>
      <c r="H194" s="10">
        <v>-0.5839461981233105</v>
      </c>
      <c r="I194" s="10">
        <v>-0.19355610682157789</v>
      </c>
      <c r="J194" s="10">
        <v>-0.2039631673997265</v>
      </c>
      <c r="K194" s="10">
        <v>0.48572059086788333</v>
      </c>
      <c r="L194" s="10">
        <v>0.25867751275669909</v>
      </c>
      <c r="M194" s="10">
        <v>0.99999999999999956</v>
      </c>
    </row>
    <row r="195" spans="2:13" ht="10" customHeight="1" x14ac:dyDescent="0.35"/>
    <row r="197" spans="2:13" x14ac:dyDescent="0.35">
      <c r="B197" s="1" t="s">
        <v>76</v>
      </c>
    </row>
    <row r="198" spans="2:13" ht="5" customHeight="1" x14ac:dyDescent="0.35"/>
    <row r="199" spans="2:13" x14ac:dyDescent="0.35">
      <c r="B199" s="4" t="s">
        <v>4</v>
      </c>
      <c r="C199" s="3" t="s">
        <v>65</v>
      </c>
      <c r="D199" s="3" t="s">
        <v>66</v>
      </c>
      <c r="E199" s="3" t="s">
        <v>67</v>
      </c>
      <c r="F199" s="3" t="s">
        <v>68</v>
      </c>
      <c r="G199" s="3" t="s">
        <v>69</v>
      </c>
      <c r="H199" s="3" t="s">
        <v>70</v>
      </c>
      <c r="I199" s="3" t="s">
        <v>71</v>
      </c>
      <c r="J199" s="3" t="s">
        <v>72</v>
      </c>
    </row>
    <row r="200" spans="2:13" x14ac:dyDescent="0.35">
      <c r="B200" s="3" t="s">
        <v>14</v>
      </c>
      <c r="C200" s="10">
        <v>-6.3674555824089856E-17</v>
      </c>
      <c r="D200" s="10">
        <v>3.4836162009169072E-2</v>
      </c>
      <c r="E200" s="10">
        <v>-0.62699428139295166</v>
      </c>
      <c r="F200" s="10">
        <v>0.42142428568068135</v>
      </c>
      <c r="G200" s="10">
        <v>0.17567124209407922</v>
      </c>
      <c r="H200" s="10">
        <v>4.1071752876299126</v>
      </c>
      <c r="I200" s="10">
        <v>-1.1622088960221246</v>
      </c>
      <c r="J200" s="10">
        <v>34</v>
      </c>
    </row>
    <row r="201" spans="2:13" x14ac:dyDescent="0.35">
      <c r="B201" s="3" t="s">
        <v>15</v>
      </c>
      <c r="C201" s="14">
        <v>-7.3470641335488298E-17</v>
      </c>
      <c r="D201" s="14">
        <v>-0.15150806135242917</v>
      </c>
      <c r="E201" s="14">
        <v>-1.8522910813037363</v>
      </c>
      <c r="F201" s="14">
        <v>2.4921398630424165</v>
      </c>
      <c r="G201" s="14">
        <v>0.63661140615002443</v>
      </c>
      <c r="H201" s="14">
        <v>8.3002471897704133</v>
      </c>
      <c r="I201" s="14">
        <v>1.5525350408666365</v>
      </c>
      <c r="J201" s="14">
        <v>34</v>
      </c>
    </row>
    <row r="202" spans="2:13" x14ac:dyDescent="0.35">
      <c r="B202" s="3" t="s">
        <v>16</v>
      </c>
      <c r="C202" s="10">
        <v>6.1225534446240249E-18</v>
      </c>
      <c r="D202" s="10">
        <v>4.7196703025810388E-3</v>
      </c>
      <c r="E202" s="10">
        <v>-0.79279625618224969</v>
      </c>
      <c r="F202" s="10">
        <v>0.65693489340238753</v>
      </c>
      <c r="G202" s="10">
        <v>0.2892993394273235</v>
      </c>
      <c r="H202" s="10">
        <v>2.9888409191787182</v>
      </c>
      <c r="I202" s="10">
        <v>-1.0125030547470899</v>
      </c>
      <c r="J202" s="10">
        <v>34</v>
      </c>
    </row>
    <row r="203" spans="2:13" x14ac:dyDescent="0.35">
      <c r="B203" s="3" t="s">
        <v>17</v>
      </c>
      <c r="C203" s="14">
        <v>1.0122621695111721E-16</v>
      </c>
      <c r="D203" s="14">
        <v>5.2111371814600987E-2</v>
      </c>
      <c r="E203" s="14">
        <v>-0.46234865619527787</v>
      </c>
      <c r="F203" s="14">
        <v>0.32440337420542642</v>
      </c>
      <c r="G203" s="14">
        <v>0.17911955782683847</v>
      </c>
      <c r="H203" s="14">
        <v>1.2476777142342645</v>
      </c>
      <c r="I203" s="14">
        <v>-1.2679342585520308</v>
      </c>
      <c r="J203" s="14">
        <v>34</v>
      </c>
    </row>
    <row r="204" spans="2:13" x14ac:dyDescent="0.35">
      <c r="B204" s="3" t="s">
        <v>18</v>
      </c>
      <c r="C204" s="10">
        <v>1.3061447348531254E-16</v>
      </c>
      <c r="D204" s="10">
        <v>-0.11915706983645473</v>
      </c>
      <c r="E204" s="10">
        <v>-1.2660928453991356</v>
      </c>
      <c r="F204" s="10">
        <v>1.2922849371776879</v>
      </c>
      <c r="G204" s="10">
        <v>0.4687705530274881</v>
      </c>
      <c r="H204" s="10">
        <v>2.1496811263364202</v>
      </c>
      <c r="I204" s="10">
        <v>0.65318652696291313</v>
      </c>
      <c r="J204" s="10">
        <v>34</v>
      </c>
    </row>
    <row r="205" spans="2:13" x14ac:dyDescent="0.35">
      <c r="B205" s="3" t="s">
        <v>19</v>
      </c>
      <c r="C205" s="14">
        <v>-1.0604262566088811E-15</v>
      </c>
      <c r="D205" s="14">
        <v>-1.579587011506375E-2</v>
      </c>
      <c r="E205" s="14">
        <v>-1.1357972578243478</v>
      </c>
      <c r="F205" s="14">
        <v>1.400536523578215</v>
      </c>
      <c r="G205" s="14">
        <v>0.51719379477021143</v>
      </c>
      <c r="H205" s="14">
        <v>0.85608377159440829</v>
      </c>
      <c r="I205" s="14">
        <v>0.27521045234040792</v>
      </c>
      <c r="J205" s="14">
        <v>34</v>
      </c>
    </row>
    <row r="206" spans="2:13" x14ac:dyDescent="0.35">
      <c r="B206" s="3" t="s">
        <v>20</v>
      </c>
      <c r="C206" s="10">
        <v>-1.2245106889248051E-16</v>
      </c>
      <c r="D206" s="10">
        <v>3.3205556233333294E-2</v>
      </c>
      <c r="E206" s="10">
        <v>-0.64124255538773456</v>
      </c>
      <c r="F206" s="10">
        <v>0.81384955077754695</v>
      </c>
      <c r="G206" s="10">
        <v>0.25565048685929942</v>
      </c>
      <c r="H206" s="10">
        <v>3.1148410145107035</v>
      </c>
      <c r="I206" s="10">
        <v>0.17735967349111359</v>
      </c>
      <c r="J206" s="10">
        <v>34</v>
      </c>
    </row>
    <row r="207" spans="2:13" x14ac:dyDescent="0.35">
      <c r="B207" s="3" t="s">
        <v>21</v>
      </c>
      <c r="C207" s="14">
        <v>8.3266726846886741E-17</v>
      </c>
      <c r="D207" s="14">
        <v>1.5789953438493591E-2</v>
      </c>
      <c r="E207" s="14">
        <v>-0.43003477653489941</v>
      </c>
      <c r="F207" s="14">
        <v>0.8883767276531207</v>
      </c>
      <c r="G207" s="14">
        <v>0.23126075985843245</v>
      </c>
      <c r="H207" s="14">
        <v>6.0132884150884127</v>
      </c>
      <c r="I207" s="14">
        <v>1.6543505134267602</v>
      </c>
      <c r="J207" s="14">
        <v>34</v>
      </c>
    </row>
    <row r="208" spans="2:13" x14ac:dyDescent="0.35">
      <c r="B208" s="3" t="s">
        <v>22</v>
      </c>
      <c r="C208" s="10">
        <v>2.2335074965988443E-15</v>
      </c>
      <c r="D208" s="10">
        <v>-7.4935419301387279E-2</v>
      </c>
      <c r="E208" s="10">
        <v>-1.0660509096108051</v>
      </c>
      <c r="F208" s="10">
        <v>1.3911408285337825</v>
      </c>
      <c r="G208" s="10">
        <v>0.54495441684084844</v>
      </c>
      <c r="H208" s="10">
        <v>0.1013678668679403</v>
      </c>
      <c r="I208" s="10">
        <v>0.43377246474610404</v>
      </c>
      <c r="J208" s="10">
        <v>34</v>
      </c>
    </row>
    <row r="209" spans="2:10" x14ac:dyDescent="0.35">
      <c r="B209" s="3" t="s">
        <v>23</v>
      </c>
      <c r="C209" s="14">
        <v>-2.0179936153480786E-15</v>
      </c>
      <c r="D209" s="14">
        <v>3.2650306053004785E-2</v>
      </c>
      <c r="E209" s="14">
        <v>-1.4571902813151127</v>
      </c>
      <c r="F209" s="14">
        <v>2.0869631235802544</v>
      </c>
      <c r="G209" s="14">
        <v>0.74588259230630827</v>
      </c>
      <c r="H209" s="14">
        <v>0.71771860090776274</v>
      </c>
      <c r="I209" s="14">
        <v>0.37922119645779173</v>
      </c>
      <c r="J209" s="14">
        <v>34</v>
      </c>
    </row>
    <row r="210" spans="2:10" x14ac:dyDescent="0.35">
      <c r="B210" s="3" t="s">
        <v>24</v>
      </c>
      <c r="C210" s="10">
        <v>-1.0408340855860843E-16</v>
      </c>
      <c r="D210" s="10">
        <v>4.7023764030221349E-2</v>
      </c>
      <c r="E210" s="10">
        <v>-1.0799046353636048</v>
      </c>
      <c r="F210" s="10">
        <v>1.158026349390211</v>
      </c>
      <c r="G210" s="10">
        <v>0.43380332743013805</v>
      </c>
      <c r="H210" s="10">
        <v>2.1196084348045647</v>
      </c>
      <c r="I210" s="10">
        <v>0.18281535319933295</v>
      </c>
      <c r="J210" s="10">
        <v>34</v>
      </c>
    </row>
    <row r="211" spans="2:10" ht="10" customHeight="1" x14ac:dyDescent="0.35"/>
    <row r="213" spans="2:10" x14ac:dyDescent="0.35">
      <c r="B213" s="1" t="s">
        <v>77</v>
      </c>
    </row>
    <row r="214" spans="2:10" ht="5" customHeight="1" x14ac:dyDescent="0.35"/>
    <row r="215" spans="2:10" x14ac:dyDescent="0.35">
      <c r="B215" s="4" t="s">
        <v>27</v>
      </c>
      <c r="C215" s="3" t="s">
        <v>5</v>
      </c>
      <c r="D215" s="3" t="s">
        <v>6</v>
      </c>
    </row>
    <row r="216" spans="2:10" x14ac:dyDescent="0.35">
      <c r="B216" s="3" t="s">
        <v>28</v>
      </c>
      <c r="C216" s="10">
        <v>0.44401885381011202</v>
      </c>
      <c r="D216" s="10">
        <v>0.44211698882761963</v>
      </c>
    </row>
    <row r="217" spans="2:10" x14ac:dyDescent="0.35">
      <c r="B217" s="3" t="s">
        <v>29</v>
      </c>
      <c r="C217" s="14">
        <v>-4.8634641982955001E-2</v>
      </c>
      <c r="D217" s="14">
        <v>-0.5816902133988856</v>
      </c>
    </row>
    <row r="218" spans="2:10" x14ac:dyDescent="0.35">
      <c r="B218" s="3" t="s">
        <v>30</v>
      </c>
      <c r="C218" s="10">
        <v>3.798852008598641E-3</v>
      </c>
      <c r="D218" s="10">
        <v>0.29571919239634092</v>
      </c>
    </row>
    <row r="219" spans="2:10" x14ac:dyDescent="0.35">
      <c r="B219" s="3" t="s">
        <v>31</v>
      </c>
      <c r="C219" s="14">
        <v>6.0327787066507182E-2</v>
      </c>
      <c r="D219" s="14">
        <v>0.66720655968044762</v>
      </c>
    </row>
    <row r="220" spans="2:10" x14ac:dyDescent="0.35">
      <c r="B220" s="3" t="s">
        <v>32</v>
      </c>
      <c r="C220" s="10">
        <v>-1.1338704439688874E-2</v>
      </c>
      <c r="D220" s="10">
        <v>0.43697473373094187</v>
      </c>
    </row>
    <row r="221" spans="2:10" x14ac:dyDescent="0.35">
      <c r="B221" s="3" t="s">
        <v>33</v>
      </c>
      <c r="C221" s="14">
        <v>0.26267463183268491</v>
      </c>
      <c r="D221" s="14">
        <v>0.23974592151419336</v>
      </c>
    </row>
    <row r="222" spans="2:10" x14ac:dyDescent="0.35">
      <c r="B222" s="3" t="s">
        <v>34</v>
      </c>
      <c r="C222" s="10">
        <v>-2.256532313286741E-2</v>
      </c>
      <c r="D222" s="10">
        <v>0.1975515833377976</v>
      </c>
    </row>
    <row r="223" spans="2:10" x14ac:dyDescent="0.35">
      <c r="B223" s="3" t="s">
        <v>35</v>
      </c>
      <c r="C223" s="14">
        <v>0.11683960900270915</v>
      </c>
      <c r="D223" s="14">
        <v>0.15400902816435999</v>
      </c>
    </row>
    <row r="224" spans="2:10" x14ac:dyDescent="0.35">
      <c r="B224" s="3" t="s">
        <v>36</v>
      </c>
      <c r="C224" s="10">
        <v>-4.1211518539726155E-2</v>
      </c>
      <c r="D224" s="10">
        <v>0.64421784149119776</v>
      </c>
    </row>
    <row r="225" spans="2:4" x14ac:dyDescent="0.35">
      <c r="B225" s="3" t="s">
        <v>37</v>
      </c>
      <c r="C225" s="14">
        <v>2.293373890383088E-2</v>
      </c>
      <c r="D225" s="14">
        <v>1.2731060970049624</v>
      </c>
    </row>
    <row r="226" spans="2:4" x14ac:dyDescent="0.35">
      <c r="B226" s="3" t="s">
        <v>38</v>
      </c>
      <c r="C226" s="10">
        <v>0.26600525511909456</v>
      </c>
      <c r="D226" s="10">
        <v>0.64295499900630126</v>
      </c>
    </row>
    <row r="227" spans="2:4" x14ac:dyDescent="0.35">
      <c r="B227" s="3" t="s">
        <v>39</v>
      </c>
      <c r="C227" s="14">
        <v>0.35848096329976009</v>
      </c>
      <c r="D227" s="14">
        <v>-5.0996386669244553E-2</v>
      </c>
    </row>
    <row r="228" spans="2:4" x14ac:dyDescent="0.35">
      <c r="B228" s="3" t="s">
        <v>40</v>
      </c>
      <c r="C228" s="10">
        <v>-0.56460156507750348</v>
      </c>
      <c r="D228" s="10">
        <v>-0.83565840041803119</v>
      </c>
    </row>
    <row r="229" spans="2:4" x14ac:dyDescent="0.35">
      <c r="B229" s="3" t="s">
        <v>41</v>
      </c>
      <c r="C229" s="14">
        <v>-9.3789486160467839E-2</v>
      </c>
      <c r="D229" s="14">
        <v>2.4442028311363426</v>
      </c>
    </row>
    <row r="230" spans="2:4" x14ac:dyDescent="0.35">
      <c r="B230" s="3" t="s">
        <v>42</v>
      </c>
      <c r="C230" s="10">
        <v>-0.31058428323964393</v>
      </c>
      <c r="D230" s="10">
        <v>-1.1898815876277657</v>
      </c>
    </row>
    <row r="231" spans="2:4" x14ac:dyDescent="0.35">
      <c r="B231" s="3" t="s">
        <v>43</v>
      </c>
      <c r="C231" s="14">
        <v>0.21692436977142399</v>
      </c>
      <c r="D231" s="14">
        <v>0.61731997940962535</v>
      </c>
    </row>
    <row r="232" spans="2:4" x14ac:dyDescent="0.35">
      <c r="B232" s="3" t="s">
        <v>44</v>
      </c>
      <c r="C232" s="10">
        <v>-0.25774838665626393</v>
      </c>
      <c r="D232" s="10">
        <v>0.58039796090933504</v>
      </c>
    </row>
    <row r="233" spans="2:4" x14ac:dyDescent="0.35">
      <c r="B233" s="3" t="s">
        <v>45</v>
      </c>
      <c r="C233" s="14">
        <v>-2.2303103210418229E-2</v>
      </c>
      <c r="D233" s="14">
        <v>-0.72923939224341638</v>
      </c>
    </row>
    <row r="234" spans="2:4" x14ac:dyDescent="0.35">
      <c r="B234" s="3" t="s">
        <v>46</v>
      </c>
      <c r="C234" s="10">
        <v>-6.1998287475718061E-2</v>
      </c>
      <c r="D234" s="10">
        <v>-1.3046035891623284</v>
      </c>
    </row>
    <row r="235" spans="2:4" x14ac:dyDescent="0.35">
      <c r="B235" s="3" t="s">
        <v>47</v>
      </c>
      <c r="C235" s="14">
        <v>-0.10538266833599719</v>
      </c>
      <c r="D235" s="14">
        <v>-0.39895487974762306</v>
      </c>
    </row>
    <row r="236" spans="2:4" x14ac:dyDescent="0.35">
      <c r="B236" s="3" t="s">
        <v>48</v>
      </c>
      <c r="C236" s="10">
        <v>-5.9081340641197022E-2</v>
      </c>
      <c r="D236" s="10">
        <v>0.12949204776796774</v>
      </c>
    </row>
    <row r="237" spans="2:4" x14ac:dyDescent="0.35">
      <c r="B237" s="3" t="s">
        <v>49</v>
      </c>
      <c r="C237" s="14">
        <v>-6.3311418853648188E-2</v>
      </c>
      <c r="D237" s="14">
        <v>-1.6567444440358292E-2</v>
      </c>
    </row>
    <row r="238" spans="2:4" x14ac:dyDescent="0.35">
      <c r="B238" s="3" t="s">
        <v>50</v>
      </c>
      <c r="C238" s="10">
        <v>-0.27675388963710418</v>
      </c>
      <c r="D238" s="10">
        <v>1.1868721944048348</v>
      </c>
    </row>
    <row r="239" spans="2:4" x14ac:dyDescent="0.35">
      <c r="B239" s="3" t="s">
        <v>51</v>
      </c>
      <c r="C239" s="14">
        <v>-5.2112838759969971E-2</v>
      </c>
      <c r="D239" s="14">
        <v>0.53742354916194734</v>
      </c>
    </row>
    <row r="240" spans="2:4" x14ac:dyDescent="0.35">
      <c r="B240" s="3" t="s">
        <v>52</v>
      </c>
      <c r="C240" s="10">
        <v>-0.2898736914904872</v>
      </c>
      <c r="D240" s="10">
        <v>0.38532769459988159</v>
      </c>
    </row>
    <row r="241" spans="2:4" x14ac:dyDescent="0.35">
      <c r="B241" s="3" t="s">
        <v>53</v>
      </c>
      <c r="C241" s="14">
        <v>8.9100247956653278E-3</v>
      </c>
      <c r="D241" s="14">
        <v>-0.25887691107887373</v>
      </c>
    </row>
    <row r="242" spans="2:4" x14ac:dyDescent="0.35">
      <c r="B242" s="3" t="s">
        <v>54</v>
      </c>
      <c r="C242" s="10">
        <v>4.7297269304874226E-2</v>
      </c>
      <c r="D242" s="10">
        <v>0.33732082395357865</v>
      </c>
    </row>
    <row r="243" spans="2:4" x14ac:dyDescent="0.35">
      <c r="B243" s="3" t="s">
        <v>55</v>
      </c>
      <c r="C243" s="14">
        <v>-1.5842293002192365E-2</v>
      </c>
      <c r="D243" s="14">
        <v>0.32955953777849989</v>
      </c>
    </row>
    <row r="244" spans="2:4" x14ac:dyDescent="0.35">
      <c r="B244" s="3" t="s">
        <v>56</v>
      </c>
      <c r="C244" s="10">
        <v>-8.9309358115907345E-2</v>
      </c>
      <c r="D244" s="10">
        <v>-0.79574525604691604</v>
      </c>
    </row>
    <row r="245" spans="2:4" x14ac:dyDescent="0.35">
      <c r="B245" s="3" t="s">
        <v>57</v>
      </c>
      <c r="C245" s="14">
        <v>-6.3141866160245308E-2</v>
      </c>
      <c r="D245" s="14">
        <v>-1.2845014400574262</v>
      </c>
    </row>
    <row r="246" spans="2:4" x14ac:dyDescent="0.35">
      <c r="B246" s="3" t="s">
        <v>58</v>
      </c>
      <c r="C246" s="10">
        <v>-0.19081655706183404</v>
      </c>
      <c r="D246" s="10">
        <v>-0.88205369052556637</v>
      </c>
    </row>
    <row r="247" spans="2:4" x14ac:dyDescent="0.35">
      <c r="B247" s="3" t="s">
        <v>59</v>
      </c>
      <c r="C247" s="14">
        <v>2.8411574116120719E-2</v>
      </c>
      <c r="D247" s="14">
        <v>-0.39425414805695536</v>
      </c>
    </row>
    <row r="248" spans="2:4" x14ac:dyDescent="0.35">
      <c r="B248" s="3" t="s">
        <v>60</v>
      </c>
      <c r="C248" s="10">
        <v>0.46439122236079328</v>
      </c>
      <c r="D248" s="10">
        <v>-0.91945324059569589</v>
      </c>
    </row>
    <row r="249" spans="2:4" x14ac:dyDescent="0.35">
      <c r="B249" s="3" t="s">
        <v>61</v>
      </c>
      <c r="C249" s="14">
        <v>0.33938707058166295</v>
      </c>
      <c r="D249" s="14">
        <v>-1.8990429842071483</v>
      </c>
    </row>
    <row r="250" spans="2:4" ht="10" customHeight="1" x14ac:dyDescent="0.35"/>
    <row r="252" spans="2:4" x14ac:dyDescent="0.35">
      <c r="B252" s="1" t="s">
        <v>78</v>
      </c>
    </row>
    <row r="253" spans="2:4" ht="5" customHeight="1" x14ac:dyDescent="0.35"/>
    <row r="254" spans="2:4" x14ac:dyDescent="0.35">
      <c r="B254" s="4" t="s">
        <v>4</v>
      </c>
      <c r="C254" s="3" t="s">
        <v>5</v>
      </c>
      <c r="D254" s="3" t="s">
        <v>6</v>
      </c>
    </row>
    <row r="255" spans="2:4" x14ac:dyDescent="0.35">
      <c r="B255" s="3" t="s">
        <v>5</v>
      </c>
      <c r="C255" s="10">
        <v>0.99999999999999833</v>
      </c>
      <c r="D255" s="10">
        <v>-1.8808484181885005E-15</v>
      </c>
    </row>
    <row r="256" spans="2:4" x14ac:dyDescent="0.35">
      <c r="B256" s="3" t="s">
        <v>6</v>
      </c>
      <c r="C256" s="14">
        <v>-1.8808484181885005E-15</v>
      </c>
      <c r="D256" s="14">
        <v>1.0000000000000002</v>
      </c>
    </row>
    <row r="257" spans="2:21" ht="10" customHeight="1" x14ac:dyDescent="0.35"/>
    <row r="259" spans="2:21" x14ac:dyDescent="0.35">
      <c r="B259" s="1" t="s">
        <v>79</v>
      </c>
    </row>
    <row r="260" spans="2:21" ht="5" customHeight="1" x14ac:dyDescent="0.35"/>
    <row r="261" spans="2:21" x14ac:dyDescent="0.35">
      <c r="B261" s="4" t="s">
        <v>4</v>
      </c>
      <c r="C261" s="3" t="s">
        <v>65</v>
      </c>
      <c r="D261" s="3" t="s">
        <v>66</v>
      </c>
      <c r="E261" s="3" t="s">
        <v>67</v>
      </c>
      <c r="F261" s="3" t="s">
        <v>68</v>
      </c>
      <c r="G261" s="3" t="s">
        <v>69</v>
      </c>
      <c r="H261" s="3" t="s">
        <v>70</v>
      </c>
      <c r="I261" s="3" t="s">
        <v>71</v>
      </c>
      <c r="J261" s="3" t="s">
        <v>72</v>
      </c>
    </row>
    <row r="262" spans="2:21" x14ac:dyDescent="0.35">
      <c r="B262" s="3" t="s">
        <v>5</v>
      </c>
      <c r="C262" s="10">
        <v>6.3674555824089856E-17</v>
      </c>
      <c r="D262" s="10">
        <v>-2.2303103210418229E-2</v>
      </c>
      <c r="E262" s="10">
        <v>-0.56460156507750348</v>
      </c>
      <c r="F262" s="10">
        <v>0.46439122236079328</v>
      </c>
      <c r="G262" s="10">
        <v>0.21654693922111293</v>
      </c>
      <c r="H262" s="10">
        <v>0.71330615786723728</v>
      </c>
      <c r="I262" s="10">
        <v>0.11636638647180401</v>
      </c>
      <c r="J262" s="10">
        <v>34</v>
      </c>
    </row>
    <row r="263" spans="2:21" x14ac:dyDescent="0.35">
      <c r="B263" s="3" t="s">
        <v>6</v>
      </c>
      <c r="C263" s="14">
        <v>-1.7698261157259849E-15</v>
      </c>
      <c r="D263" s="14">
        <v>0.1975515833377976</v>
      </c>
      <c r="E263" s="14">
        <v>-1.8990429842071483</v>
      </c>
      <c r="F263" s="14">
        <v>2.4442028311363426</v>
      </c>
      <c r="G263" s="14">
        <v>0.85490582921710701</v>
      </c>
      <c r="H263" s="14">
        <v>0.84867223662132973</v>
      </c>
      <c r="I263" s="14">
        <v>0.19497261677266861</v>
      </c>
      <c r="J263" s="14">
        <v>34</v>
      </c>
    </row>
    <row r="264" spans="2:21" ht="10" customHeight="1" x14ac:dyDescent="0.35"/>
    <row r="266" spans="2:21" ht="16.5" x14ac:dyDescent="0.35">
      <c r="B266" s="19" t="s">
        <v>80</v>
      </c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</row>
    <row r="268" spans="2:21" ht="15.5" x14ac:dyDescent="0.35">
      <c r="B268" s="20" t="s">
        <v>81</v>
      </c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</row>
    <row r="269" spans="2:21" ht="5" customHeight="1" x14ac:dyDescent="0.35"/>
    <row r="270" spans="2:21" x14ac:dyDescent="0.35">
      <c r="B270" s="4" t="s">
        <v>4</v>
      </c>
      <c r="C270" s="3" t="s">
        <v>81</v>
      </c>
      <c r="D270" s="3" t="s">
        <v>82</v>
      </c>
    </row>
    <row r="271" spans="2:21" x14ac:dyDescent="0.35">
      <c r="B271" s="3" t="s">
        <v>5</v>
      </c>
      <c r="C271" s="10">
        <v>0.95310742311396779</v>
      </c>
      <c r="D271" s="10">
        <v>0.95164203008627923</v>
      </c>
    </row>
    <row r="272" spans="2:21" x14ac:dyDescent="0.35">
      <c r="B272" s="3" t="s">
        <v>6</v>
      </c>
      <c r="C272" s="14">
        <v>0.26913602317061103</v>
      </c>
      <c r="D272" s="14">
        <v>0.22198350853645699</v>
      </c>
    </row>
    <row r="273" spans="2:21" ht="10" customHeight="1" x14ac:dyDescent="0.35"/>
    <row r="275" spans="2:21" ht="15.5" x14ac:dyDescent="0.35">
      <c r="B275" s="20" t="s">
        <v>83</v>
      </c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</row>
    <row r="276" spans="2:21" ht="5" customHeight="1" x14ac:dyDescent="0.35"/>
    <row r="277" spans="2:21" x14ac:dyDescent="0.35">
      <c r="B277" s="4" t="s">
        <v>4</v>
      </c>
      <c r="C277" s="3" t="s">
        <v>5</v>
      </c>
      <c r="D277" s="3" t="s">
        <v>6</v>
      </c>
      <c r="E277" s="3" t="s">
        <v>7</v>
      </c>
    </row>
    <row r="278" spans="2:21" x14ac:dyDescent="0.35">
      <c r="B278" s="3" t="s">
        <v>5</v>
      </c>
      <c r="C278" s="8" t="s">
        <v>4</v>
      </c>
      <c r="D278" s="10">
        <v>4.407160419134909E-2</v>
      </c>
      <c r="E278" s="8" t="s">
        <v>4</v>
      </c>
    </row>
    <row r="279" spans="2:21" x14ac:dyDescent="0.35">
      <c r="B279" s="3" t="s">
        <v>6</v>
      </c>
      <c r="C279" s="12" t="s">
        <v>4</v>
      </c>
      <c r="D279" s="12" t="s">
        <v>4</v>
      </c>
      <c r="E279" s="12" t="s">
        <v>4</v>
      </c>
    </row>
    <row r="280" spans="2:21" x14ac:dyDescent="0.35">
      <c r="B280" s="3" t="s">
        <v>7</v>
      </c>
      <c r="C280" s="9">
        <v>20.325336895654114</v>
      </c>
      <c r="D280" s="10">
        <v>0.10774448441478451</v>
      </c>
      <c r="E280" s="8" t="s">
        <v>4</v>
      </c>
    </row>
    <row r="281" spans="2:21" ht="10" customHeight="1" x14ac:dyDescent="0.35"/>
    <row r="283" spans="2:21" ht="15.5" x14ac:dyDescent="0.35">
      <c r="B283" s="20" t="s">
        <v>84</v>
      </c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</row>
    <row r="284" spans="2:21" ht="5" customHeight="1" x14ac:dyDescent="0.35"/>
    <row r="285" spans="2:21" x14ac:dyDescent="0.35">
      <c r="B285" s="4" t="s">
        <v>4</v>
      </c>
      <c r="C285" s="3" t="s">
        <v>85</v>
      </c>
      <c r="D285" s="3" t="s">
        <v>86</v>
      </c>
      <c r="E285" s="3" t="s">
        <v>87</v>
      </c>
      <c r="F285" s="3" t="s">
        <v>88</v>
      </c>
    </row>
    <row r="286" spans="2:21" x14ac:dyDescent="0.35">
      <c r="B286" s="3" t="s">
        <v>5</v>
      </c>
      <c r="C286" s="9">
        <v>0.94373317388654332</v>
      </c>
      <c r="D286" s="9">
        <v>0.96227418126474051</v>
      </c>
      <c r="E286" s="9">
        <v>0.96118077232757237</v>
      </c>
      <c r="F286" s="9">
        <v>0.86202190211791108</v>
      </c>
    </row>
    <row r="287" spans="2:21" x14ac:dyDescent="0.35">
      <c r="B287" s="3" t="s">
        <v>6</v>
      </c>
      <c r="C287" s="13">
        <v>0.72004428662016062</v>
      </c>
      <c r="D287" s="13">
        <v>0.78286848030116352</v>
      </c>
      <c r="E287" s="13">
        <v>0.83252430570228697</v>
      </c>
      <c r="F287" s="13">
        <v>0.62639814023708673</v>
      </c>
    </row>
    <row r="288" spans="2:21" x14ac:dyDescent="0.35">
      <c r="B288" s="3" t="s">
        <v>7</v>
      </c>
      <c r="C288" s="9">
        <v>0.94881868639301736</v>
      </c>
      <c r="D288" s="9">
        <v>0.95400709529125594</v>
      </c>
      <c r="E288" s="9">
        <v>0.96340570007468396</v>
      </c>
      <c r="F288" s="9">
        <v>0.86830753281078676</v>
      </c>
    </row>
    <row r="289" spans="2:21" ht="10" customHeight="1" x14ac:dyDescent="0.35"/>
    <row r="291" spans="2:21" ht="15.5" x14ac:dyDescent="0.35">
      <c r="B291" s="20" t="s">
        <v>89</v>
      </c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</row>
    <row r="292" spans="2:21" ht="5" customHeight="1" x14ac:dyDescent="0.35"/>
    <row r="294" spans="2:21" x14ac:dyDescent="0.35">
      <c r="B294" s="1" t="s">
        <v>90</v>
      </c>
    </row>
    <row r="295" spans="2:21" ht="5" customHeight="1" x14ac:dyDescent="0.35"/>
    <row r="296" spans="2:21" x14ac:dyDescent="0.35">
      <c r="B296" s="4" t="s">
        <v>4</v>
      </c>
      <c r="C296" s="3" t="s">
        <v>5</v>
      </c>
      <c r="D296" s="3" t="s">
        <v>6</v>
      </c>
      <c r="E296" s="3" t="s">
        <v>7</v>
      </c>
    </row>
    <row r="297" spans="2:21" x14ac:dyDescent="0.35">
      <c r="B297" s="3" t="s">
        <v>5</v>
      </c>
      <c r="C297" s="10">
        <v>0.92845134612316171</v>
      </c>
      <c r="D297" s="10" t="s">
        <v>4</v>
      </c>
      <c r="E297" s="10" t="s">
        <v>4</v>
      </c>
    </row>
    <row r="298" spans="2:21" x14ac:dyDescent="0.35">
      <c r="B298" s="3" t="s">
        <v>6</v>
      </c>
      <c r="C298" s="14">
        <v>0.43633640784352329</v>
      </c>
      <c r="D298" s="14">
        <v>0.79145318259331465</v>
      </c>
      <c r="E298" s="14" t="s">
        <v>4</v>
      </c>
    </row>
    <row r="299" spans="2:21" x14ac:dyDescent="0.35">
      <c r="B299" s="3" t="s">
        <v>7</v>
      </c>
      <c r="C299" s="10">
        <v>0.9762722074882435</v>
      </c>
      <c r="D299" s="10">
        <v>0.48675011583570366</v>
      </c>
      <c r="E299" s="10">
        <v>0.93183020599827449</v>
      </c>
    </row>
    <row r="300" spans="2:21" ht="10" customHeight="1" x14ac:dyDescent="0.35"/>
    <row r="302" spans="2:21" x14ac:dyDescent="0.35">
      <c r="B302" s="1" t="s">
        <v>91</v>
      </c>
    </row>
    <row r="303" spans="2:21" ht="5" customHeight="1" x14ac:dyDescent="0.35"/>
    <row r="304" spans="2:21" x14ac:dyDescent="0.35">
      <c r="B304" s="4" t="s">
        <v>4</v>
      </c>
      <c r="C304" s="3" t="s">
        <v>5</v>
      </c>
      <c r="D304" s="3" t="s">
        <v>6</v>
      </c>
      <c r="E304" s="3" t="s">
        <v>7</v>
      </c>
    </row>
    <row r="305" spans="2:5" x14ac:dyDescent="0.35">
      <c r="B305" s="3" t="s">
        <v>14</v>
      </c>
      <c r="C305" s="10">
        <v>0.98444888882111292</v>
      </c>
      <c r="D305" s="10">
        <v>0.44473062903637212</v>
      </c>
      <c r="E305" s="10">
        <v>0.95735536650764197</v>
      </c>
    </row>
    <row r="306" spans="2:5" x14ac:dyDescent="0.35">
      <c r="B306" s="3" t="s">
        <v>15</v>
      </c>
      <c r="C306" s="14">
        <v>0.77118474930439884</v>
      </c>
      <c r="D306" s="14">
        <v>0.22054916122744164</v>
      </c>
      <c r="E306" s="14">
        <v>0.7646904727192696</v>
      </c>
    </row>
    <row r="307" spans="2:5" x14ac:dyDescent="0.35">
      <c r="B307" s="3" t="s">
        <v>16</v>
      </c>
      <c r="C307" s="10">
        <v>0.95723868089777586</v>
      </c>
      <c r="D307" s="10">
        <v>0.43891828415479622</v>
      </c>
      <c r="E307" s="10">
        <v>0.90549349294992298</v>
      </c>
    </row>
    <row r="308" spans="2:5" x14ac:dyDescent="0.35">
      <c r="B308" s="3" t="s">
        <v>17</v>
      </c>
      <c r="C308" s="14">
        <v>0.98382731411763402</v>
      </c>
      <c r="D308" s="14">
        <v>0.47871950319685902</v>
      </c>
      <c r="E308" s="14">
        <v>0.98231043449286137</v>
      </c>
    </row>
    <row r="309" spans="2:5" x14ac:dyDescent="0.35">
      <c r="B309" s="3" t="s">
        <v>18</v>
      </c>
      <c r="C309" s="10">
        <v>0.83924327906034302</v>
      </c>
      <c r="D309" s="10">
        <v>0.38018380604876889</v>
      </c>
      <c r="E309" s="10">
        <v>0.88331996955480618</v>
      </c>
    </row>
    <row r="310" spans="2:5" x14ac:dyDescent="0.35">
      <c r="B310" s="3" t="s">
        <v>19</v>
      </c>
      <c r="C310" s="14">
        <v>0.35300080124978583</v>
      </c>
      <c r="D310" s="14">
        <v>0.8558683185228837</v>
      </c>
      <c r="E310" s="14">
        <v>0.42822057556929721</v>
      </c>
    </row>
    <row r="311" spans="2:5" x14ac:dyDescent="0.35">
      <c r="B311" s="3" t="s">
        <v>20</v>
      </c>
      <c r="C311" s="10">
        <v>0.93792393729754819</v>
      </c>
      <c r="D311" s="10">
        <v>0.46574963371566724</v>
      </c>
      <c r="E311" s="10">
        <v>0.96676927369905741</v>
      </c>
    </row>
    <row r="312" spans="2:5" x14ac:dyDescent="0.35">
      <c r="B312" s="3" t="s">
        <v>21</v>
      </c>
      <c r="C312" s="14">
        <v>0.97289718674964187</v>
      </c>
      <c r="D312" s="14">
        <v>0.49488854170437835</v>
      </c>
      <c r="E312" s="14">
        <v>0.9728918033109849</v>
      </c>
    </row>
    <row r="313" spans="2:5" x14ac:dyDescent="0.35">
      <c r="B313" s="3" t="s">
        <v>22</v>
      </c>
      <c r="C313" s="10">
        <v>0.45488587931062696</v>
      </c>
      <c r="D313" s="10">
        <v>0.83846567226431556</v>
      </c>
      <c r="E313" s="10">
        <v>0.46301513327080285</v>
      </c>
    </row>
    <row r="314" spans="2:5" x14ac:dyDescent="0.35">
      <c r="B314" s="3" t="s">
        <v>23</v>
      </c>
      <c r="C314" s="14">
        <v>0.15227154044084873</v>
      </c>
      <c r="D314" s="14">
        <v>0.66607744181470452</v>
      </c>
      <c r="E314" s="14">
        <v>0.17820466572830543</v>
      </c>
    </row>
    <row r="315" spans="2:5" x14ac:dyDescent="0.35">
      <c r="B315" s="3" t="s">
        <v>24</v>
      </c>
      <c r="C315" s="10">
        <v>0.8819013663904598</v>
      </c>
      <c r="D315" s="10">
        <v>0.46623437212164059</v>
      </c>
      <c r="E315" s="10">
        <v>0.90100758770974854</v>
      </c>
    </row>
    <row r="316" spans="2:5" ht="10" customHeight="1" x14ac:dyDescent="0.35"/>
    <row r="318" spans="2:5" x14ac:dyDescent="0.35">
      <c r="B318" s="1" t="s">
        <v>92</v>
      </c>
    </row>
    <row r="319" spans="2:5" ht="5" customHeight="1" x14ac:dyDescent="0.35"/>
    <row r="320" spans="2:5" x14ac:dyDescent="0.35">
      <c r="B320" s="4" t="s">
        <v>4</v>
      </c>
      <c r="C320" s="3" t="s">
        <v>5</v>
      </c>
      <c r="D320" s="3" t="s">
        <v>6</v>
      </c>
      <c r="E320" s="3" t="s">
        <v>7</v>
      </c>
    </row>
    <row r="321" spans="2:21" x14ac:dyDescent="0.35">
      <c r="B321" s="3" t="s">
        <v>5</v>
      </c>
      <c r="C321" s="9" t="s">
        <v>4</v>
      </c>
      <c r="D321" s="9" t="s">
        <v>4</v>
      </c>
      <c r="E321" s="9" t="s">
        <v>4</v>
      </c>
    </row>
    <row r="322" spans="2:21" x14ac:dyDescent="0.35">
      <c r="B322" s="3" t="s">
        <v>6</v>
      </c>
      <c r="C322" s="13">
        <v>0.4992667554871954</v>
      </c>
      <c r="D322" s="13" t="s">
        <v>4</v>
      </c>
      <c r="E322" s="13" t="s">
        <v>4</v>
      </c>
    </row>
    <row r="323" spans="2:21" x14ac:dyDescent="0.35">
      <c r="B323" s="3" t="s">
        <v>7</v>
      </c>
      <c r="C323" s="8">
        <v>1.0301851496680083</v>
      </c>
      <c r="D323" s="9">
        <v>0.53642561451555082</v>
      </c>
      <c r="E323" s="9" t="s">
        <v>4</v>
      </c>
    </row>
    <row r="324" spans="2:21" ht="10" customHeight="1" x14ac:dyDescent="0.35"/>
    <row r="326" spans="2:21" ht="15.5" x14ac:dyDescent="0.35">
      <c r="B326" s="20" t="s">
        <v>93</v>
      </c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</row>
    <row r="327" spans="2:21" ht="5" customHeight="1" x14ac:dyDescent="0.35"/>
    <row r="329" spans="2:21" x14ac:dyDescent="0.35">
      <c r="B329" s="1" t="s">
        <v>94</v>
      </c>
    </row>
    <row r="330" spans="2:21" ht="5" customHeight="1" x14ac:dyDescent="0.35"/>
    <row r="331" spans="2:21" x14ac:dyDescent="0.35">
      <c r="B331" s="4" t="s">
        <v>4</v>
      </c>
      <c r="C331" s="3" t="s">
        <v>95</v>
      </c>
    </row>
    <row r="332" spans="2:21" x14ac:dyDescent="0.35">
      <c r="B332" s="3" t="s">
        <v>14</v>
      </c>
      <c r="C332" s="8">
        <v>53.589532792410324</v>
      </c>
    </row>
    <row r="333" spans="2:21" x14ac:dyDescent="0.35">
      <c r="B333" s="3" t="s">
        <v>15</v>
      </c>
      <c r="C333" s="13">
        <v>2.2027984750140437</v>
      </c>
    </row>
    <row r="334" spans="2:21" x14ac:dyDescent="0.35">
      <c r="B334" s="3" t="s">
        <v>16</v>
      </c>
      <c r="C334" s="8">
        <v>22.530293782008137</v>
      </c>
    </row>
    <row r="335" spans="2:21" x14ac:dyDescent="0.35">
      <c r="B335" s="3" t="s">
        <v>17</v>
      </c>
      <c r="C335" s="12">
        <v>26.467762838238936</v>
      </c>
    </row>
    <row r="336" spans="2:21" x14ac:dyDescent="0.35">
      <c r="B336" s="3" t="s">
        <v>18</v>
      </c>
      <c r="C336" s="10">
        <v>4.3208170610294756</v>
      </c>
    </row>
    <row r="337" spans="2:5" x14ac:dyDescent="0.35">
      <c r="B337" s="3" t="s">
        <v>19</v>
      </c>
      <c r="C337" s="13">
        <v>1.3612070455861942</v>
      </c>
    </row>
    <row r="338" spans="2:5" x14ac:dyDescent="0.35">
      <c r="B338" s="3" t="s">
        <v>20</v>
      </c>
      <c r="C338" s="8">
        <v>8.326947454886259</v>
      </c>
    </row>
    <row r="339" spans="2:5" x14ac:dyDescent="0.35">
      <c r="B339" s="3" t="s">
        <v>21</v>
      </c>
      <c r="C339" s="12">
        <v>9.7647862741081752</v>
      </c>
    </row>
    <row r="340" spans="2:5" x14ac:dyDescent="0.35">
      <c r="B340" s="3" t="s">
        <v>22</v>
      </c>
      <c r="C340" s="9">
        <v>1.5470859543845494</v>
      </c>
    </row>
    <row r="341" spans="2:5" x14ac:dyDescent="0.35">
      <c r="B341" s="3" t="s">
        <v>23</v>
      </c>
      <c r="C341" s="13">
        <v>1.396821446604126</v>
      </c>
    </row>
    <row r="342" spans="2:5" x14ac:dyDescent="0.35">
      <c r="B342" s="3" t="s">
        <v>24</v>
      </c>
      <c r="C342" s="10">
        <v>4.8840766104899753</v>
      </c>
    </row>
    <row r="343" spans="2:5" ht="10" customHeight="1" x14ac:dyDescent="0.35"/>
    <row r="345" spans="2:5" x14ac:dyDescent="0.35">
      <c r="B345" s="1" t="s">
        <v>96</v>
      </c>
    </row>
    <row r="346" spans="2:5" ht="5" customHeight="1" x14ac:dyDescent="0.35"/>
    <row r="347" spans="2:5" x14ac:dyDescent="0.35">
      <c r="B347" s="4" t="s">
        <v>4</v>
      </c>
      <c r="C347" s="3" t="s">
        <v>5</v>
      </c>
      <c r="D347" s="3" t="s">
        <v>6</v>
      </c>
      <c r="E347" s="3" t="s">
        <v>7</v>
      </c>
    </row>
    <row r="348" spans="2:5" x14ac:dyDescent="0.35">
      <c r="B348" s="3" t="s">
        <v>5</v>
      </c>
      <c r="C348" s="9" t="s">
        <v>4</v>
      </c>
      <c r="D348" s="8">
        <v>21.325336895654118</v>
      </c>
      <c r="E348" s="9" t="s">
        <v>4</v>
      </c>
    </row>
    <row r="349" spans="2:5" x14ac:dyDescent="0.35">
      <c r="B349" s="3" t="s">
        <v>6</v>
      </c>
      <c r="C349" s="13" t="s">
        <v>4</v>
      </c>
      <c r="D349" s="13" t="s">
        <v>4</v>
      </c>
      <c r="E349" s="13" t="s">
        <v>4</v>
      </c>
    </row>
    <row r="350" spans="2:5" x14ac:dyDescent="0.35">
      <c r="B350" s="3" t="s">
        <v>7</v>
      </c>
      <c r="C350" s="9">
        <v>0.99999999999999978</v>
      </c>
      <c r="D350" s="8">
        <v>21.325336895654114</v>
      </c>
      <c r="E350" s="9" t="s">
        <v>4</v>
      </c>
    </row>
    <row r="351" spans="2:5" ht="10" customHeight="1" x14ac:dyDescent="0.35"/>
    <row r="353" spans="2:21" ht="15.5" x14ac:dyDescent="0.35">
      <c r="B353" s="20" t="s">
        <v>97</v>
      </c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</row>
    <row r="354" spans="2:21" ht="5" customHeight="1" x14ac:dyDescent="0.35"/>
    <row r="356" spans="2:21" x14ac:dyDescent="0.35">
      <c r="B356" s="1" t="s">
        <v>98</v>
      </c>
    </row>
    <row r="357" spans="2:21" ht="5" customHeight="1" x14ac:dyDescent="0.35"/>
    <row r="358" spans="2:21" x14ac:dyDescent="0.35">
      <c r="B358" s="4" t="s">
        <v>4</v>
      </c>
      <c r="C358" s="3" t="s">
        <v>99</v>
      </c>
      <c r="D358" s="3" t="s">
        <v>100</v>
      </c>
    </row>
    <row r="359" spans="2:21" x14ac:dyDescent="0.35">
      <c r="B359" s="3" t="s">
        <v>101</v>
      </c>
      <c r="C359" s="10">
        <v>0.10617264987327156</v>
      </c>
      <c r="D359" s="10">
        <v>0.10617264987327153</v>
      </c>
    </row>
    <row r="360" spans="2:21" x14ac:dyDescent="0.35">
      <c r="B360" s="3" t="s">
        <v>102</v>
      </c>
      <c r="C360" s="14">
        <v>0.74399368435341262</v>
      </c>
      <c r="D360" s="14">
        <v>0.74399368435341229</v>
      </c>
    </row>
    <row r="361" spans="2:21" x14ac:dyDescent="0.35">
      <c r="B361" s="3" t="s">
        <v>103</v>
      </c>
      <c r="C361" s="10">
        <v>1.4332790995363442</v>
      </c>
      <c r="D361" s="10">
        <v>1.4332790995363456</v>
      </c>
    </row>
    <row r="362" spans="2:21" x14ac:dyDescent="0.35">
      <c r="B362" s="3" t="s">
        <v>104</v>
      </c>
      <c r="C362" s="14">
        <v>191.29258170701985</v>
      </c>
      <c r="D362" s="14">
        <v>191.29258170701974</v>
      </c>
    </row>
    <row r="363" spans="2:21" x14ac:dyDescent="0.35">
      <c r="B363" s="3" t="s">
        <v>105</v>
      </c>
      <c r="C363" s="10">
        <v>0.70859396289363807</v>
      </c>
      <c r="D363" s="10">
        <v>0.70859396289363819</v>
      </c>
    </row>
    <row r="364" spans="2:21" ht="10" customHeight="1" x14ac:dyDescent="0.35"/>
    <row r="366" spans="2:21" x14ac:dyDescent="0.35">
      <c r="B366" s="1" t="s">
        <v>106</v>
      </c>
    </row>
    <row r="367" spans="2:21" ht="5" customHeight="1" x14ac:dyDescent="0.35"/>
    <row r="368" spans="2:21" x14ac:dyDescent="0.35">
      <c r="B368" s="3" t="s">
        <v>106</v>
      </c>
      <c r="C368" s="10">
        <v>0.45271072167928983</v>
      </c>
    </row>
    <row r="369" spans="2:21" ht="10" customHeight="1" x14ac:dyDescent="0.35"/>
    <row r="371" spans="2:21" ht="15.5" x14ac:dyDescent="0.35">
      <c r="B371" s="20" t="s">
        <v>107</v>
      </c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</row>
    <row r="372" spans="2:21" ht="5" customHeight="1" x14ac:dyDescent="0.35"/>
    <row r="373" spans="2:21" x14ac:dyDescent="0.35">
      <c r="B373" s="4" t="s">
        <v>4</v>
      </c>
      <c r="C373" s="3" t="s">
        <v>108</v>
      </c>
      <c r="D373" s="3" t="s">
        <v>109</v>
      </c>
      <c r="E373" s="3" t="s">
        <v>110</v>
      </c>
      <c r="F373" s="3" t="s">
        <v>111</v>
      </c>
      <c r="G373" s="3" t="s">
        <v>112</v>
      </c>
      <c r="H373" s="3" t="s">
        <v>113</v>
      </c>
    </row>
    <row r="374" spans="2:21" x14ac:dyDescent="0.35">
      <c r="B374" s="3" t="s">
        <v>5</v>
      </c>
      <c r="C374" s="10">
        <v>-101.05146105495757</v>
      </c>
      <c r="D374" s="10">
        <v>-98.990223913198776</v>
      </c>
      <c r="E374" s="10">
        <v>-64.251461054957574</v>
      </c>
      <c r="F374" s="10">
        <v>-97.998740005725253</v>
      </c>
      <c r="G374" s="10">
        <v>-100.01039575004062</v>
      </c>
      <c r="H374" s="10">
        <v>-99.338253709385029</v>
      </c>
    </row>
    <row r="375" spans="2:21" x14ac:dyDescent="0.35">
      <c r="B375" s="3" t="s">
        <v>6</v>
      </c>
      <c r="C375" s="14">
        <v>-5.6749498487872634</v>
      </c>
      <c r="D375" s="14">
        <v>-2.5342569643327471</v>
      </c>
      <c r="E375" s="14">
        <v>31.704360496040326</v>
      </c>
      <c r="F375" s="14">
        <v>-1.09586827493878</v>
      </c>
      <c r="G375" s="14">
        <v>-4.1133518914118357</v>
      </c>
      <c r="H375" s="14">
        <v>-2.8096281056574521</v>
      </c>
    </row>
    <row r="376" spans="2:21" ht="10" customHeight="1" x14ac:dyDescent="0.35"/>
    <row r="378" spans="2:21" ht="16.5" x14ac:dyDescent="0.35">
      <c r="B378" s="19" t="s">
        <v>114</v>
      </c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</row>
    <row r="380" spans="2:21" ht="15.5" x14ac:dyDescent="0.35">
      <c r="B380" s="20" t="s">
        <v>115</v>
      </c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</row>
    <row r="381" spans="2:21" ht="5" customHeight="1" x14ac:dyDescent="0.35"/>
    <row r="382" spans="2:21" x14ac:dyDescent="0.35">
      <c r="B382" s="4" t="s">
        <v>4</v>
      </c>
      <c r="C382" s="3" t="s">
        <v>14</v>
      </c>
      <c r="D382" s="3" t="s">
        <v>15</v>
      </c>
      <c r="E382" s="3" t="s">
        <v>16</v>
      </c>
      <c r="F382" s="3" t="s">
        <v>17</v>
      </c>
      <c r="G382" s="3" t="s">
        <v>18</v>
      </c>
      <c r="H382" s="3" t="s">
        <v>19</v>
      </c>
      <c r="I382" s="3" t="s">
        <v>20</v>
      </c>
      <c r="J382" s="3" t="s">
        <v>21</v>
      </c>
      <c r="K382" s="3" t="s">
        <v>22</v>
      </c>
      <c r="L382" s="3" t="s">
        <v>23</v>
      </c>
      <c r="M382" s="3" t="s">
        <v>24</v>
      </c>
    </row>
    <row r="383" spans="2:21" x14ac:dyDescent="0.35">
      <c r="B383" s="3" t="s">
        <v>116</v>
      </c>
      <c r="C383" s="10">
        <v>0.2702776903413841</v>
      </c>
      <c r="D383" s="10">
        <v>0.2702776903413841</v>
      </c>
      <c r="E383" s="10">
        <v>0.2702776903413841</v>
      </c>
      <c r="F383" s="10">
        <v>0.2702776903413841</v>
      </c>
      <c r="G383" s="10">
        <v>0.26850790733479196</v>
      </c>
      <c r="H383" s="10">
        <v>0.41632138050091361</v>
      </c>
      <c r="I383" s="10">
        <v>0.26850790733479196</v>
      </c>
      <c r="J383" s="10">
        <v>0.26850790733479196</v>
      </c>
      <c r="K383" s="10">
        <v>0.41632138050091361</v>
      </c>
      <c r="L383" s="10">
        <v>0.41632138050091361</v>
      </c>
      <c r="M383" s="10">
        <v>0.26850790733479196</v>
      </c>
    </row>
    <row r="384" spans="2:21" x14ac:dyDescent="0.35">
      <c r="B384" s="3" t="s">
        <v>117</v>
      </c>
      <c r="C384" s="14">
        <v>0.28720494900288807</v>
      </c>
      <c r="D384" s="14">
        <v>0.21134902663849553</v>
      </c>
      <c r="E384" s="14">
        <v>0.27433860106439278</v>
      </c>
      <c r="F384" s="14">
        <v>0.29645709318182528</v>
      </c>
      <c r="G384" s="14">
        <v>0.24425247154448412</v>
      </c>
      <c r="H384" s="14">
        <v>0.53083344887313899</v>
      </c>
      <c r="I384" s="14">
        <v>0.27614808053688539</v>
      </c>
      <c r="J384" s="14">
        <v>0.28839747801485743</v>
      </c>
      <c r="K384" s="14">
        <v>0.46190767922212039</v>
      </c>
      <c r="L384" s="14">
        <v>0.23750660485305314</v>
      </c>
      <c r="M384" s="14">
        <v>0.26270099460583768</v>
      </c>
    </row>
    <row r="385" spans="2:21" x14ac:dyDescent="0.35">
      <c r="B385" s="3" t="s">
        <v>118</v>
      </c>
      <c r="C385" s="10">
        <v>0.28661629253493709</v>
      </c>
      <c r="D385" s="10">
        <v>0.21345274052612206</v>
      </c>
      <c r="E385" s="10">
        <v>0.27322028641893975</v>
      </c>
      <c r="F385" s="10">
        <v>0.29648731039032145</v>
      </c>
      <c r="G385" s="10">
        <v>0.24266528927714034</v>
      </c>
      <c r="H385" s="10">
        <v>0.54639602949059329</v>
      </c>
      <c r="I385" s="10">
        <v>0.27660426889781475</v>
      </c>
      <c r="J385" s="10">
        <v>0.28821545036519985</v>
      </c>
      <c r="K385" s="10">
        <v>0.46320593618142519</v>
      </c>
      <c r="L385" s="10">
        <v>0.21615129433887684</v>
      </c>
      <c r="M385" s="10">
        <v>0.26396430642882696</v>
      </c>
    </row>
    <row r="386" spans="2:21" x14ac:dyDescent="0.35">
      <c r="B386" s="3" t="s">
        <v>119</v>
      </c>
      <c r="C386" s="14">
        <v>0.28649926967376421</v>
      </c>
      <c r="D386" s="14">
        <v>0.21391691694755061</v>
      </c>
      <c r="E386" s="14">
        <v>0.27300293017050264</v>
      </c>
      <c r="F386" s="14">
        <v>0.29645211044109082</v>
      </c>
      <c r="G386" s="14">
        <v>0.24318277908851821</v>
      </c>
      <c r="H386" s="14">
        <v>0.54490708771301721</v>
      </c>
      <c r="I386" s="14">
        <v>0.27658925379186616</v>
      </c>
      <c r="J386" s="14">
        <v>0.28828502170930376</v>
      </c>
      <c r="K386" s="14">
        <v>0.46353496494721325</v>
      </c>
      <c r="L386" s="14">
        <v>0.21765203313335957</v>
      </c>
      <c r="M386" s="14">
        <v>0.26339807962689482</v>
      </c>
    </row>
    <row r="387" spans="2:21" x14ac:dyDescent="0.35">
      <c r="B387" s="3" t="s">
        <v>120</v>
      </c>
      <c r="C387" s="10">
        <v>0.28650084979388435</v>
      </c>
      <c r="D387" s="10">
        <v>0.21391534100074786</v>
      </c>
      <c r="E387" s="10">
        <v>0.27300664211116665</v>
      </c>
      <c r="F387" s="10">
        <v>0.29644815301312111</v>
      </c>
      <c r="G387" s="10">
        <v>0.24316972495815317</v>
      </c>
      <c r="H387" s="10">
        <v>0.54510895057301922</v>
      </c>
      <c r="I387" s="10">
        <v>0.27658783728327291</v>
      </c>
      <c r="J387" s="10">
        <v>0.28828827599537732</v>
      </c>
      <c r="K387" s="10">
        <v>0.46337274015418728</v>
      </c>
      <c r="L387" s="10">
        <v>0.21759689453401063</v>
      </c>
      <c r="M387" s="10">
        <v>0.26340888345393415</v>
      </c>
    </row>
    <row r="388" spans="2:21" x14ac:dyDescent="0.35">
      <c r="B388" s="3" t="s">
        <v>121</v>
      </c>
      <c r="C388" s="14">
        <v>0.28649874974924122</v>
      </c>
      <c r="D388" s="14">
        <v>0.21392333066007735</v>
      </c>
      <c r="E388" s="14">
        <v>0.27300332910677111</v>
      </c>
      <c r="F388" s="14">
        <v>0.29644721509016592</v>
      </c>
      <c r="G388" s="14">
        <v>0.24317679882092083</v>
      </c>
      <c r="H388" s="14">
        <v>0.54511591317290808</v>
      </c>
      <c r="I388" s="14">
        <v>0.27658725180257321</v>
      </c>
      <c r="J388" s="14">
        <v>0.2882878084888047</v>
      </c>
      <c r="K388" s="14">
        <v>0.46335956267011263</v>
      </c>
      <c r="L388" s="14">
        <v>0.21760453615419317</v>
      </c>
      <c r="M388" s="14">
        <v>0.26340308149802533</v>
      </c>
    </row>
    <row r="389" spans="2:21" x14ac:dyDescent="0.35">
      <c r="B389" s="3" t="s">
        <v>122</v>
      </c>
      <c r="C389" s="10">
        <v>0.28649848364688718</v>
      </c>
      <c r="D389" s="10">
        <v>0.21392441805839998</v>
      </c>
      <c r="E389" s="10">
        <v>0.27300291118581571</v>
      </c>
      <c r="F389" s="10">
        <v>0.29644703561744001</v>
      </c>
      <c r="G389" s="10">
        <v>0.24317764441756531</v>
      </c>
      <c r="H389" s="10">
        <v>0.54511907447398344</v>
      </c>
      <c r="I389" s="10">
        <v>0.2765871546836135</v>
      </c>
      <c r="J389" s="10">
        <v>0.28828783550802639</v>
      </c>
      <c r="K389" s="10">
        <v>0.46335569264031151</v>
      </c>
      <c r="L389" s="10">
        <v>0.21760534572800941</v>
      </c>
      <c r="M389" s="10">
        <v>0.26340232753412801</v>
      </c>
    </row>
    <row r="390" spans="2:21" x14ac:dyDescent="0.35">
      <c r="B390" s="3" t="s">
        <v>123</v>
      </c>
      <c r="C390" s="14">
        <v>0.28649842221804867</v>
      </c>
      <c r="D390" s="14">
        <v>0.21392466220858802</v>
      </c>
      <c r="E390" s="14">
        <v>0.27300281520986136</v>
      </c>
      <c r="F390" s="14">
        <v>0.29644699908722144</v>
      </c>
      <c r="G390" s="14">
        <v>0.24317784181579113</v>
      </c>
      <c r="H390" s="14">
        <v>0.54511963924660267</v>
      </c>
      <c r="I390" s="14">
        <v>0.2765871339718593</v>
      </c>
      <c r="J390" s="14">
        <v>0.28828783248409451</v>
      </c>
      <c r="K390" s="14">
        <v>0.46335497324132308</v>
      </c>
      <c r="L390" s="14">
        <v>0.21760552561802238</v>
      </c>
      <c r="M390" s="14">
        <v>0.26340215949965995</v>
      </c>
    </row>
    <row r="391" spans="2:21" x14ac:dyDescent="0.35">
      <c r="B391" s="3" t="s">
        <v>124</v>
      </c>
      <c r="C391" s="10">
        <v>0.2864984101621591</v>
      </c>
      <c r="D391" s="10">
        <v>0.21392471040111791</v>
      </c>
      <c r="E391" s="10">
        <v>0.27300279632269142</v>
      </c>
      <c r="F391" s="10">
        <v>0.29644699175117151</v>
      </c>
      <c r="G391" s="10">
        <v>0.24317788057981557</v>
      </c>
      <c r="H391" s="10">
        <v>0.54511975475371577</v>
      </c>
      <c r="I391" s="10">
        <v>0.2765871298558521</v>
      </c>
      <c r="J391" s="10">
        <v>0.28828783232414995</v>
      </c>
      <c r="K391" s="10">
        <v>0.46335482628436964</v>
      </c>
      <c r="L391" s="10">
        <v>0.21760556218958746</v>
      </c>
      <c r="M391" s="10">
        <v>0.26340212608573688</v>
      </c>
    </row>
    <row r="392" spans="2:21" x14ac:dyDescent="0.35">
      <c r="B392" s="3" t="s">
        <v>125</v>
      </c>
      <c r="C392" s="14">
        <v>0.2864984077292152</v>
      </c>
      <c r="D392" s="14">
        <v>0.21392472011710034</v>
      </c>
      <c r="E392" s="14">
        <v>0.27300279251469528</v>
      </c>
      <c r="F392" s="14">
        <v>0.2964469902747463</v>
      </c>
      <c r="G392" s="14">
        <v>0.24317788839555041</v>
      </c>
      <c r="H392" s="14">
        <v>0.54511977801445344</v>
      </c>
      <c r="I392" s="14">
        <v>0.27658712902597266</v>
      </c>
      <c r="J392" s="14">
        <v>0.28828783227340243</v>
      </c>
      <c r="K392" s="14">
        <v>0.46335479675681479</v>
      </c>
      <c r="L392" s="14">
        <v>0.21760556947059201</v>
      </c>
      <c r="M392" s="14">
        <v>0.26340211936867819</v>
      </c>
    </row>
    <row r="393" spans="2:21" ht="10" customHeight="1" x14ac:dyDescent="0.35"/>
    <row r="395" spans="2:21" ht="16.5" x14ac:dyDescent="0.35">
      <c r="B395" s="19" t="s">
        <v>126</v>
      </c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</row>
    <row r="397" spans="2:21" ht="15.5" x14ac:dyDescent="0.35">
      <c r="B397" s="20" t="s">
        <v>127</v>
      </c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</row>
    <row r="398" spans="2:21" ht="5" customHeight="1" x14ac:dyDescent="0.35"/>
    <row r="399" spans="2:21" x14ac:dyDescent="0.35">
      <c r="B399" s="7" t="s">
        <v>128</v>
      </c>
      <c r="C399" s="10" t="s">
        <v>4</v>
      </c>
    </row>
    <row r="400" spans="2:21" x14ac:dyDescent="0.35">
      <c r="B400" s="14" t="s">
        <v>129</v>
      </c>
      <c r="C400" s="14" t="s">
        <v>130</v>
      </c>
    </row>
    <row r="401" spans="2:3" x14ac:dyDescent="0.35">
      <c r="B401" s="10" t="s">
        <v>131</v>
      </c>
      <c r="C401" s="10" t="s">
        <v>132</v>
      </c>
    </row>
    <row r="402" spans="2:3" x14ac:dyDescent="0.35">
      <c r="B402" s="11" t="s">
        <v>133</v>
      </c>
      <c r="C402" s="14" t="s">
        <v>4</v>
      </c>
    </row>
    <row r="403" spans="2:3" x14ac:dyDescent="0.35">
      <c r="B403" s="10" t="s">
        <v>134</v>
      </c>
      <c r="C403" s="10" t="s">
        <v>135</v>
      </c>
    </row>
    <row r="404" spans="2:3" x14ac:dyDescent="0.35">
      <c r="B404" s="14" t="s">
        <v>136</v>
      </c>
      <c r="C404" s="14" t="s">
        <v>137</v>
      </c>
    </row>
    <row r="405" spans="2:3" x14ac:dyDescent="0.35">
      <c r="B405" s="7" t="s">
        <v>138</v>
      </c>
      <c r="C405" s="10" t="s">
        <v>4</v>
      </c>
    </row>
    <row r="406" spans="2:3" x14ac:dyDescent="0.35">
      <c r="B406" s="14" t="s">
        <v>139</v>
      </c>
      <c r="C406" s="14" t="s">
        <v>140</v>
      </c>
    </row>
    <row r="407" spans="2:3" x14ac:dyDescent="0.35">
      <c r="B407" s="10" t="s">
        <v>141</v>
      </c>
      <c r="C407" s="10" t="s">
        <v>142</v>
      </c>
    </row>
    <row r="408" spans="2:3" x14ac:dyDescent="0.35">
      <c r="B408" s="14" t="s">
        <v>143</v>
      </c>
      <c r="C408" s="14" t="s">
        <v>144</v>
      </c>
    </row>
    <row r="409" spans="2:3" x14ac:dyDescent="0.35">
      <c r="B409" s="10" t="s">
        <v>145</v>
      </c>
      <c r="C409" s="10" t="s">
        <v>34</v>
      </c>
    </row>
    <row r="410" spans="2:3" x14ac:dyDescent="0.35">
      <c r="B410" s="14" t="s">
        <v>146</v>
      </c>
      <c r="C410" s="14" t="s">
        <v>147</v>
      </c>
    </row>
    <row r="411" spans="2:3" x14ac:dyDescent="0.35">
      <c r="B411" s="10" t="s">
        <v>148</v>
      </c>
      <c r="C411" s="10" t="s">
        <v>149</v>
      </c>
    </row>
    <row r="412" spans="2:3" x14ac:dyDescent="0.35">
      <c r="B412" s="11" t="s">
        <v>150</v>
      </c>
      <c r="C412" s="14" t="s">
        <v>4</v>
      </c>
    </row>
    <row r="413" spans="2:3" x14ac:dyDescent="0.35">
      <c r="B413" s="10" t="s">
        <v>5</v>
      </c>
      <c r="C413" s="10" t="s">
        <v>151</v>
      </c>
    </row>
    <row r="414" spans="2:3" x14ac:dyDescent="0.35">
      <c r="B414" s="14" t="s">
        <v>6</v>
      </c>
      <c r="C414" s="14" t="s">
        <v>151</v>
      </c>
    </row>
    <row r="415" spans="2:3" x14ac:dyDescent="0.35">
      <c r="B415" s="10" t="s">
        <v>7</v>
      </c>
      <c r="C415" s="10" t="s">
        <v>151</v>
      </c>
    </row>
    <row r="416" spans="2:3" ht="10" customHeight="1" x14ac:dyDescent="0.35"/>
    <row r="418" spans="2:21" ht="15.5" x14ac:dyDescent="0.35">
      <c r="B418" s="20" t="s">
        <v>152</v>
      </c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</row>
    <row r="419" spans="2:21" ht="5" customHeight="1" x14ac:dyDescent="0.35"/>
    <row r="420" spans="2:21" x14ac:dyDescent="0.35">
      <c r="B420" s="4" t="s">
        <v>4</v>
      </c>
      <c r="C420" s="3" t="s">
        <v>5</v>
      </c>
      <c r="D420" s="3" t="s">
        <v>6</v>
      </c>
      <c r="E420" s="3" t="s">
        <v>7</v>
      </c>
    </row>
    <row r="421" spans="2:21" x14ac:dyDescent="0.35">
      <c r="B421" s="3" t="s">
        <v>5</v>
      </c>
      <c r="C421" s="10" t="s">
        <v>4</v>
      </c>
      <c r="D421" s="10">
        <v>1</v>
      </c>
      <c r="E421" s="10" t="s">
        <v>4</v>
      </c>
    </row>
    <row r="422" spans="2:21" x14ac:dyDescent="0.35">
      <c r="B422" s="3" t="s">
        <v>6</v>
      </c>
      <c r="C422" s="14" t="s">
        <v>4</v>
      </c>
      <c r="D422" s="14" t="s">
        <v>4</v>
      </c>
      <c r="E422" s="14" t="s">
        <v>4</v>
      </c>
    </row>
    <row r="423" spans="2:21" x14ac:dyDescent="0.35">
      <c r="B423" s="3" t="s">
        <v>7</v>
      </c>
      <c r="C423" s="10">
        <v>1</v>
      </c>
      <c r="D423" s="10">
        <v>1</v>
      </c>
      <c r="E423" s="10" t="s">
        <v>4</v>
      </c>
    </row>
    <row r="424" spans="2:21" ht="10" customHeight="1" x14ac:dyDescent="0.35"/>
    <row r="426" spans="2:21" ht="15.5" x14ac:dyDescent="0.35">
      <c r="B426" s="20" t="s">
        <v>153</v>
      </c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</row>
    <row r="427" spans="2:21" ht="5" customHeight="1" x14ac:dyDescent="0.35"/>
    <row r="428" spans="2:21" x14ac:dyDescent="0.35">
      <c r="B428" s="4" t="s">
        <v>4</v>
      </c>
      <c r="C428" s="3" t="s">
        <v>5</v>
      </c>
      <c r="D428" s="3" t="s">
        <v>6</v>
      </c>
      <c r="E428" s="3" t="s">
        <v>7</v>
      </c>
    </row>
    <row r="429" spans="2:21" x14ac:dyDescent="0.35">
      <c r="B429" s="3" t="s">
        <v>14</v>
      </c>
      <c r="C429" s="10">
        <v>-1</v>
      </c>
      <c r="D429" s="10" t="s">
        <v>4</v>
      </c>
      <c r="E429" s="10" t="s">
        <v>4</v>
      </c>
    </row>
    <row r="430" spans="2:21" x14ac:dyDescent="0.35">
      <c r="B430" s="3" t="s">
        <v>15</v>
      </c>
      <c r="C430" s="14">
        <v>-1</v>
      </c>
      <c r="D430" s="14" t="s">
        <v>4</v>
      </c>
      <c r="E430" s="14" t="s">
        <v>4</v>
      </c>
    </row>
    <row r="431" spans="2:21" x14ac:dyDescent="0.35">
      <c r="B431" s="3" t="s">
        <v>16</v>
      </c>
      <c r="C431" s="10">
        <v>-1</v>
      </c>
      <c r="D431" s="10" t="s">
        <v>4</v>
      </c>
      <c r="E431" s="10" t="s">
        <v>4</v>
      </c>
    </row>
    <row r="432" spans="2:21" x14ac:dyDescent="0.35">
      <c r="B432" s="3" t="s">
        <v>17</v>
      </c>
      <c r="C432" s="14">
        <v>-1</v>
      </c>
      <c r="D432" s="14" t="s">
        <v>4</v>
      </c>
      <c r="E432" s="14" t="s">
        <v>4</v>
      </c>
    </row>
    <row r="433" spans="2:21" x14ac:dyDescent="0.35">
      <c r="B433" s="3" t="s">
        <v>18</v>
      </c>
      <c r="C433" s="10" t="s">
        <v>4</v>
      </c>
      <c r="D433" s="10" t="s">
        <v>4</v>
      </c>
      <c r="E433" s="10">
        <v>-1</v>
      </c>
    </row>
    <row r="434" spans="2:21" x14ac:dyDescent="0.35">
      <c r="B434" s="3" t="s">
        <v>19</v>
      </c>
      <c r="C434" s="14" t="s">
        <v>4</v>
      </c>
      <c r="D434" s="14">
        <v>-1</v>
      </c>
      <c r="E434" s="14" t="s">
        <v>4</v>
      </c>
    </row>
    <row r="435" spans="2:21" x14ac:dyDescent="0.35">
      <c r="B435" s="3" t="s">
        <v>20</v>
      </c>
      <c r="C435" s="10" t="s">
        <v>4</v>
      </c>
      <c r="D435" s="10" t="s">
        <v>4</v>
      </c>
      <c r="E435" s="10">
        <v>-1</v>
      </c>
    </row>
    <row r="436" spans="2:21" x14ac:dyDescent="0.35">
      <c r="B436" s="3" t="s">
        <v>21</v>
      </c>
      <c r="C436" s="14" t="s">
        <v>4</v>
      </c>
      <c r="D436" s="14" t="s">
        <v>4</v>
      </c>
      <c r="E436" s="14">
        <v>-1</v>
      </c>
    </row>
    <row r="437" spans="2:21" x14ac:dyDescent="0.35">
      <c r="B437" s="3" t="s">
        <v>22</v>
      </c>
      <c r="C437" s="10" t="s">
        <v>4</v>
      </c>
      <c r="D437" s="10">
        <v>-1</v>
      </c>
      <c r="E437" s="10" t="s">
        <v>4</v>
      </c>
    </row>
    <row r="438" spans="2:21" x14ac:dyDescent="0.35">
      <c r="B438" s="3" t="s">
        <v>23</v>
      </c>
      <c r="C438" s="14" t="s">
        <v>4</v>
      </c>
      <c r="D438" s="14">
        <v>-1</v>
      </c>
      <c r="E438" s="14" t="s">
        <v>4</v>
      </c>
    </row>
    <row r="439" spans="2:21" x14ac:dyDescent="0.35">
      <c r="B439" s="3" t="s">
        <v>24</v>
      </c>
      <c r="C439" s="10" t="s">
        <v>4</v>
      </c>
      <c r="D439" s="10" t="s">
        <v>4</v>
      </c>
      <c r="E439" s="10">
        <v>-1</v>
      </c>
    </row>
    <row r="440" spans="2:21" ht="10" customHeight="1" x14ac:dyDescent="0.35"/>
    <row r="442" spans="2:21" ht="15.5" x14ac:dyDescent="0.35">
      <c r="B442" s="20" t="s">
        <v>154</v>
      </c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</row>
    <row r="443" spans="2:21" ht="5" customHeight="1" x14ac:dyDescent="0.35"/>
    <row r="444" spans="2:21" x14ac:dyDescent="0.35">
      <c r="B444" s="4" t="s">
        <v>27</v>
      </c>
      <c r="C444" s="3" t="s">
        <v>14</v>
      </c>
      <c r="D444" s="3" t="s">
        <v>15</v>
      </c>
      <c r="E444" s="3" t="s">
        <v>16</v>
      </c>
      <c r="F444" s="3" t="s">
        <v>17</v>
      </c>
      <c r="G444" s="3" t="s">
        <v>18</v>
      </c>
      <c r="H444" s="3" t="s">
        <v>19</v>
      </c>
      <c r="I444" s="3" t="s">
        <v>20</v>
      </c>
      <c r="J444" s="3" t="s">
        <v>21</v>
      </c>
      <c r="K444" s="3" t="s">
        <v>22</v>
      </c>
      <c r="L444" s="3" t="s">
        <v>23</v>
      </c>
      <c r="M444" s="3" t="s">
        <v>24</v>
      </c>
    </row>
    <row r="445" spans="2:21" x14ac:dyDescent="0.35">
      <c r="B445" s="3" t="s">
        <v>28</v>
      </c>
      <c r="C445" s="10">
        <v>4540.26</v>
      </c>
      <c r="D445" s="10">
        <v>4615.87</v>
      </c>
      <c r="E445" s="10">
        <v>2497.91</v>
      </c>
      <c r="F445" s="10">
        <v>2504.58</v>
      </c>
      <c r="G445" s="10">
        <v>175.61</v>
      </c>
      <c r="H445" s="10">
        <v>69.92</v>
      </c>
      <c r="I445" s="10">
        <v>932.2</v>
      </c>
      <c r="J445" s="10">
        <v>1488.75</v>
      </c>
      <c r="K445" s="10">
        <v>9563.2000000000007</v>
      </c>
      <c r="L445" s="10">
        <v>11.8</v>
      </c>
      <c r="M445" s="10">
        <v>13.86</v>
      </c>
    </row>
    <row r="446" spans="2:21" x14ac:dyDescent="0.35">
      <c r="B446" s="3" t="s">
        <v>29</v>
      </c>
      <c r="C446" s="14">
        <v>2466.37</v>
      </c>
      <c r="D446" s="14">
        <v>5556.14</v>
      </c>
      <c r="E446" s="14">
        <v>1445.95</v>
      </c>
      <c r="F446" s="14">
        <v>3409.9</v>
      </c>
      <c r="G446" s="14">
        <v>311.49</v>
      </c>
      <c r="H446" s="14">
        <v>69.099999999999994</v>
      </c>
      <c r="I446" s="14">
        <v>229.39</v>
      </c>
      <c r="J446" s="14">
        <v>5545.29</v>
      </c>
      <c r="K446" s="14">
        <v>8685.7999999999993</v>
      </c>
      <c r="L446" s="14">
        <v>11.37</v>
      </c>
      <c r="M446" s="14">
        <v>32.26</v>
      </c>
    </row>
    <row r="447" spans="2:21" x14ac:dyDescent="0.35">
      <c r="B447" s="3" t="s">
        <v>30</v>
      </c>
      <c r="C447" s="10">
        <v>1586.71</v>
      </c>
      <c r="D447" s="10">
        <v>1829.4</v>
      </c>
      <c r="E447" s="10">
        <v>901.25</v>
      </c>
      <c r="F447" s="10">
        <v>2082.69</v>
      </c>
      <c r="G447" s="10">
        <v>90.6</v>
      </c>
      <c r="H447" s="10">
        <v>69.459999999999994</v>
      </c>
      <c r="I447" s="10">
        <v>385.03</v>
      </c>
      <c r="J447" s="10">
        <v>1963.15</v>
      </c>
      <c r="K447" s="10">
        <v>10843.2</v>
      </c>
      <c r="L447" s="10">
        <v>11.51</v>
      </c>
      <c r="M447" s="10">
        <v>13.71</v>
      </c>
    </row>
    <row r="448" spans="2:21" x14ac:dyDescent="0.35">
      <c r="B448" s="3" t="s">
        <v>31</v>
      </c>
      <c r="C448" s="14">
        <v>2288.79</v>
      </c>
      <c r="D448" s="14">
        <v>3011.52</v>
      </c>
      <c r="E448" s="14">
        <v>1130.83</v>
      </c>
      <c r="F448" s="14">
        <v>2242.2199999999998</v>
      </c>
      <c r="G448" s="14">
        <v>111.65</v>
      </c>
      <c r="H448" s="14">
        <v>71.58</v>
      </c>
      <c r="I448" s="14">
        <v>483.68</v>
      </c>
      <c r="J448" s="14">
        <v>3246.32</v>
      </c>
      <c r="K448" s="14">
        <v>10958.4</v>
      </c>
      <c r="L448" s="14">
        <v>11.16</v>
      </c>
      <c r="M448" s="14">
        <v>13.88</v>
      </c>
    </row>
    <row r="449" spans="2:13" x14ac:dyDescent="0.35">
      <c r="B449" s="3" t="s">
        <v>32</v>
      </c>
      <c r="C449" s="10">
        <v>935.37</v>
      </c>
      <c r="D449" s="10">
        <v>1436.34</v>
      </c>
      <c r="E449" s="10">
        <v>730.08</v>
      </c>
      <c r="F449" s="10">
        <v>1417.55</v>
      </c>
      <c r="G449" s="10">
        <v>29.63</v>
      </c>
      <c r="H449" s="10">
        <v>71.17</v>
      </c>
      <c r="I449" s="10">
        <v>234.45</v>
      </c>
      <c r="J449" s="10">
        <v>1488.42</v>
      </c>
      <c r="K449" s="10">
        <v>10560</v>
      </c>
      <c r="L449" s="10">
        <v>10.74</v>
      </c>
      <c r="M449" s="10">
        <v>17.48</v>
      </c>
    </row>
    <row r="450" spans="2:13" x14ac:dyDescent="0.35">
      <c r="B450" s="3" t="s">
        <v>33</v>
      </c>
      <c r="C450" s="14">
        <v>1559.35</v>
      </c>
      <c r="D450" s="14">
        <v>4377.3999999999996</v>
      </c>
      <c r="E450" s="14">
        <v>1696.37</v>
      </c>
      <c r="F450" s="14">
        <v>1806.57</v>
      </c>
      <c r="G450" s="14">
        <v>77.48</v>
      </c>
      <c r="H450" s="14">
        <v>69.849999999999994</v>
      </c>
      <c r="I450" s="14">
        <v>243.5</v>
      </c>
      <c r="J450" s="14">
        <v>3294.57</v>
      </c>
      <c r="K450" s="14">
        <v>10802.4</v>
      </c>
      <c r="L450" s="14">
        <v>10.34</v>
      </c>
      <c r="M450" s="14">
        <v>10.16</v>
      </c>
    </row>
    <row r="451" spans="2:13" x14ac:dyDescent="0.35">
      <c r="B451" s="3" t="s">
        <v>34</v>
      </c>
      <c r="C451" s="10">
        <v>715.19</v>
      </c>
      <c r="D451" s="10">
        <v>624.71</v>
      </c>
      <c r="E451" s="10">
        <v>503.75</v>
      </c>
      <c r="F451" s="10">
        <v>1094.96</v>
      </c>
      <c r="G451" s="10">
        <v>14.97</v>
      </c>
      <c r="H451" s="10">
        <v>69.3</v>
      </c>
      <c r="I451" s="10">
        <v>170.36</v>
      </c>
      <c r="J451" s="10">
        <v>707.6</v>
      </c>
      <c r="K451" s="10">
        <v>10455.6</v>
      </c>
      <c r="L451" s="10">
        <v>11.21</v>
      </c>
      <c r="M451" s="10">
        <v>3.89</v>
      </c>
    </row>
    <row r="452" spans="2:13" x14ac:dyDescent="0.35">
      <c r="B452" s="3" t="s">
        <v>35</v>
      </c>
      <c r="C452" s="14">
        <v>1466.66</v>
      </c>
      <c r="D452" s="14">
        <v>2625.04</v>
      </c>
      <c r="E452" s="14">
        <v>1074.18</v>
      </c>
      <c r="F452" s="14">
        <v>1923.94</v>
      </c>
      <c r="G452" s="14">
        <v>32.880000000000003</v>
      </c>
      <c r="H452" s="14">
        <v>70.61</v>
      </c>
      <c r="I452" s="14">
        <v>398.33</v>
      </c>
      <c r="J452" s="14">
        <v>2687.85</v>
      </c>
      <c r="K452" s="14">
        <v>10065.6</v>
      </c>
      <c r="L452" s="14">
        <v>10.34</v>
      </c>
      <c r="M452" s="14">
        <v>11.45</v>
      </c>
    </row>
    <row r="453" spans="2:13" x14ac:dyDescent="0.35">
      <c r="B453" s="3" t="s">
        <v>36</v>
      </c>
      <c r="C453" s="10">
        <v>618.30999999999995</v>
      </c>
      <c r="D453" s="10">
        <v>686.52</v>
      </c>
      <c r="E453" s="10">
        <v>395.15</v>
      </c>
      <c r="F453" s="10">
        <v>819.56</v>
      </c>
      <c r="G453" s="10">
        <v>5.59</v>
      </c>
      <c r="H453" s="10">
        <v>70.61</v>
      </c>
      <c r="I453" s="10">
        <v>65.22</v>
      </c>
      <c r="J453" s="10">
        <v>791.46</v>
      </c>
      <c r="K453" s="10">
        <v>12919.2</v>
      </c>
      <c r="L453" s="10">
        <v>10.029999999999999</v>
      </c>
      <c r="M453" s="10">
        <v>7.08</v>
      </c>
    </row>
    <row r="454" spans="2:13" x14ac:dyDescent="0.35">
      <c r="B454" s="3" t="s">
        <v>37</v>
      </c>
      <c r="C454" s="14">
        <v>1198.3399999999999</v>
      </c>
      <c r="D454" s="14">
        <v>980.22</v>
      </c>
      <c r="E454" s="14">
        <v>546.04999999999995</v>
      </c>
      <c r="F454" s="14">
        <v>970.45</v>
      </c>
      <c r="G454" s="14">
        <v>2.71</v>
      </c>
      <c r="H454" s="14">
        <v>70</v>
      </c>
      <c r="I454" s="14">
        <v>143.74</v>
      </c>
      <c r="J454" s="14">
        <v>1200.3599999999999</v>
      </c>
      <c r="K454" s="14">
        <v>14248.4</v>
      </c>
      <c r="L454" s="14">
        <v>11.5</v>
      </c>
      <c r="M454" s="14">
        <v>9.11</v>
      </c>
    </row>
    <row r="455" spans="2:13" x14ac:dyDescent="0.35">
      <c r="B455" s="3" t="s">
        <v>38</v>
      </c>
      <c r="C455" s="10">
        <v>19920.95</v>
      </c>
      <c r="D455" s="10">
        <v>12744.08</v>
      </c>
      <c r="E455" s="10">
        <v>8903.56</v>
      </c>
      <c r="F455" s="10">
        <v>19415.560000000001</v>
      </c>
      <c r="G455" s="10">
        <v>537.22</v>
      </c>
      <c r="H455" s="10">
        <v>72.94</v>
      </c>
      <c r="I455" s="10">
        <v>4794.3500000000004</v>
      </c>
      <c r="J455" s="10">
        <v>36916.6</v>
      </c>
      <c r="K455" s="10">
        <v>18465.8</v>
      </c>
      <c r="L455" s="10">
        <v>12.08</v>
      </c>
      <c r="M455" s="10">
        <v>484.62</v>
      </c>
    </row>
    <row r="456" spans="2:13" x14ac:dyDescent="0.35">
      <c r="B456" s="3" t="s">
        <v>39</v>
      </c>
      <c r="C456" s="14">
        <v>5518.12</v>
      </c>
      <c r="D456" s="14">
        <v>21484.44</v>
      </c>
      <c r="E456" s="14">
        <v>2355.2199999999998</v>
      </c>
      <c r="F456" s="14">
        <v>6124.13</v>
      </c>
      <c r="G456" s="14">
        <v>404.09</v>
      </c>
      <c r="H456" s="14">
        <v>73.06</v>
      </c>
      <c r="I456" s="14">
        <v>1106.49</v>
      </c>
      <c r="J456" s="14">
        <v>19041.14</v>
      </c>
      <c r="K456" s="14">
        <v>9057.4</v>
      </c>
      <c r="L456" s="14">
        <v>10.51</v>
      </c>
      <c r="M456" s="14">
        <v>46.74</v>
      </c>
    </row>
    <row r="457" spans="2:13" x14ac:dyDescent="0.35">
      <c r="B457" s="3" t="s">
        <v>40</v>
      </c>
      <c r="C457" s="10">
        <v>4686.5200000000004</v>
      </c>
      <c r="D457" s="10">
        <v>12714.08</v>
      </c>
      <c r="E457" s="10">
        <v>1587.94</v>
      </c>
      <c r="F457" s="10">
        <v>6226.55</v>
      </c>
      <c r="G457" s="10">
        <v>511.48</v>
      </c>
      <c r="H457" s="10">
        <v>74.36</v>
      </c>
      <c r="I457" s="10">
        <v>1979.9</v>
      </c>
      <c r="J457" s="10">
        <v>11960.29</v>
      </c>
      <c r="K457" s="10">
        <v>8839.4</v>
      </c>
      <c r="L457" s="10">
        <v>10.19</v>
      </c>
      <c r="M457" s="10">
        <v>103.96</v>
      </c>
    </row>
    <row r="458" spans="2:13" x14ac:dyDescent="0.35">
      <c r="B458" s="3" t="s">
        <v>41</v>
      </c>
      <c r="C458" s="14">
        <v>1119.5</v>
      </c>
      <c r="D458" s="14">
        <v>1878.7</v>
      </c>
      <c r="E458" s="14">
        <v>893.68</v>
      </c>
      <c r="F458" s="14">
        <v>1559</v>
      </c>
      <c r="G458" s="14">
        <v>95.42</v>
      </c>
      <c r="H458" s="14">
        <v>74.97</v>
      </c>
      <c r="I458" s="14">
        <v>142.12</v>
      </c>
      <c r="J458" s="14">
        <v>1755.5</v>
      </c>
      <c r="K458" s="14">
        <v>14189.6</v>
      </c>
      <c r="L458" s="14">
        <v>12.57</v>
      </c>
      <c r="M458" s="14">
        <v>39.869999999999997</v>
      </c>
    </row>
    <row r="459" spans="2:13" x14ac:dyDescent="0.35">
      <c r="B459" s="3" t="s">
        <v>42</v>
      </c>
      <c r="C459" s="10">
        <v>6639.63</v>
      </c>
      <c r="D459" s="10">
        <v>16094.92</v>
      </c>
      <c r="E459" s="10">
        <v>2398.4</v>
      </c>
      <c r="F459" s="10">
        <v>7321.43</v>
      </c>
      <c r="G459" s="10">
        <v>410.89</v>
      </c>
      <c r="H459" s="10">
        <v>71.31</v>
      </c>
      <c r="I459" s="10">
        <v>3085.16</v>
      </c>
      <c r="J459" s="10">
        <v>15593.95</v>
      </c>
      <c r="K459" s="10">
        <v>9635.4</v>
      </c>
      <c r="L459" s="10">
        <v>10.49</v>
      </c>
      <c r="M459" s="10">
        <v>110.34</v>
      </c>
    </row>
    <row r="460" spans="2:13" x14ac:dyDescent="0.35">
      <c r="B460" s="3" t="s">
        <v>43</v>
      </c>
      <c r="C460" s="14">
        <v>2668.02</v>
      </c>
      <c r="D460" s="14">
        <v>4806.3599999999997</v>
      </c>
      <c r="E460" s="14">
        <v>1338.72</v>
      </c>
      <c r="F460" s="14">
        <v>2014.12</v>
      </c>
      <c r="G460" s="14">
        <v>54.76</v>
      </c>
      <c r="H460" s="14">
        <v>69.97</v>
      </c>
      <c r="I460" s="14">
        <v>252.84</v>
      </c>
      <c r="J460" s="14">
        <v>6572.2</v>
      </c>
      <c r="K460" s="14">
        <v>12094.8</v>
      </c>
      <c r="L460" s="14">
        <v>10.9</v>
      </c>
      <c r="M460" s="14">
        <v>14.5</v>
      </c>
    </row>
    <row r="461" spans="2:13" x14ac:dyDescent="0.35">
      <c r="B461" s="3" t="s">
        <v>44</v>
      </c>
      <c r="C461" s="10">
        <v>1403.8</v>
      </c>
      <c r="D461" s="10">
        <v>2591.29</v>
      </c>
      <c r="E461" s="10">
        <v>749.4</v>
      </c>
      <c r="F461" s="10">
        <v>1634.53</v>
      </c>
      <c r="G461" s="10">
        <v>179.95</v>
      </c>
      <c r="H461" s="10">
        <v>72.13</v>
      </c>
      <c r="I461" s="10">
        <v>355.58</v>
      </c>
      <c r="J461" s="10">
        <v>2998.42</v>
      </c>
      <c r="K461" s="10">
        <v>11457</v>
      </c>
      <c r="L461" s="10">
        <v>11.16</v>
      </c>
      <c r="M461" s="10">
        <v>24.34</v>
      </c>
    </row>
    <row r="462" spans="2:13" x14ac:dyDescent="0.35">
      <c r="B462" s="3" t="s">
        <v>45</v>
      </c>
      <c r="C462" s="14">
        <v>1241.24</v>
      </c>
      <c r="D462" s="14">
        <v>1853.73</v>
      </c>
      <c r="E462" s="14">
        <v>850.97</v>
      </c>
      <c r="F462" s="14">
        <v>1455.24</v>
      </c>
      <c r="G462" s="14">
        <v>54.45</v>
      </c>
      <c r="H462" s="14">
        <v>66.48</v>
      </c>
      <c r="I462" s="14">
        <v>396.08</v>
      </c>
      <c r="J462" s="14">
        <v>1425.46</v>
      </c>
      <c r="K462" s="14">
        <v>10466.6</v>
      </c>
      <c r="L462" s="14">
        <v>10.51</v>
      </c>
      <c r="M462" s="14">
        <v>16.829999999999998</v>
      </c>
    </row>
    <row r="463" spans="2:13" x14ac:dyDescent="0.35">
      <c r="B463" s="3" t="s">
        <v>46</v>
      </c>
      <c r="C463" s="10">
        <v>1157.49</v>
      </c>
      <c r="D463" s="10">
        <v>1744.92</v>
      </c>
      <c r="E463" s="10">
        <v>894.97</v>
      </c>
      <c r="F463" s="10">
        <v>1443.54</v>
      </c>
      <c r="G463" s="10">
        <v>62.08</v>
      </c>
      <c r="H463" s="10">
        <v>66.97</v>
      </c>
      <c r="I463" s="10">
        <v>167.49</v>
      </c>
      <c r="J463" s="10">
        <v>943.98</v>
      </c>
      <c r="K463" s="10">
        <v>7672.8</v>
      </c>
      <c r="L463" s="10">
        <v>10.37</v>
      </c>
      <c r="M463" s="10">
        <v>50.97</v>
      </c>
    </row>
    <row r="464" spans="2:13" x14ac:dyDescent="0.35">
      <c r="B464" s="3" t="s">
        <v>47</v>
      </c>
      <c r="C464" s="14">
        <v>1331.43</v>
      </c>
      <c r="D464" s="14">
        <v>2206.9499999999998</v>
      </c>
      <c r="E464" s="14">
        <v>847.69</v>
      </c>
      <c r="F464" s="14">
        <v>1399.57</v>
      </c>
      <c r="G464" s="14">
        <v>92.25</v>
      </c>
      <c r="H464" s="14">
        <v>70.64</v>
      </c>
      <c r="I464" s="14">
        <v>252.62</v>
      </c>
      <c r="J464" s="14">
        <v>2096.2399999999998</v>
      </c>
      <c r="K464" s="14">
        <v>9034.7999999999993</v>
      </c>
      <c r="L464" s="14">
        <v>9.99</v>
      </c>
      <c r="M464" s="14">
        <v>33.97</v>
      </c>
    </row>
    <row r="465" spans="2:13" x14ac:dyDescent="0.35">
      <c r="B465" s="3" t="s">
        <v>48</v>
      </c>
      <c r="C465" s="10">
        <v>866.94</v>
      </c>
      <c r="D465" s="10">
        <v>1586.35</v>
      </c>
      <c r="E465" s="10">
        <v>1085.3</v>
      </c>
      <c r="F465" s="10">
        <v>1336.44</v>
      </c>
      <c r="G465" s="10">
        <v>81.709999999999994</v>
      </c>
      <c r="H465" s="10">
        <v>69.78</v>
      </c>
      <c r="I465" s="10">
        <v>253.07</v>
      </c>
      <c r="J465" s="10">
        <v>1509.59</v>
      </c>
      <c r="K465" s="10">
        <v>11192.2</v>
      </c>
      <c r="L465" s="10">
        <v>10.6</v>
      </c>
      <c r="M465" s="10">
        <v>23.24</v>
      </c>
    </row>
    <row r="466" spans="2:13" x14ac:dyDescent="0.35">
      <c r="B466" s="3" t="s">
        <v>49</v>
      </c>
      <c r="C466" s="14">
        <v>1648.88</v>
      </c>
      <c r="D466" s="14">
        <v>2196.0700000000002</v>
      </c>
      <c r="E466" s="14">
        <v>1083.49</v>
      </c>
      <c r="F466" s="14">
        <v>1770.67</v>
      </c>
      <c r="G466" s="14">
        <v>39.49</v>
      </c>
      <c r="H466" s="14">
        <v>68.67</v>
      </c>
      <c r="I466" s="14">
        <v>703.68</v>
      </c>
      <c r="J466" s="14">
        <v>2849.98</v>
      </c>
      <c r="K466" s="14">
        <v>12191.8</v>
      </c>
      <c r="L466" s="14">
        <v>10.46</v>
      </c>
      <c r="M466" s="14">
        <v>30.74</v>
      </c>
    </row>
    <row r="467" spans="2:13" x14ac:dyDescent="0.35">
      <c r="B467" s="3" t="s">
        <v>50</v>
      </c>
      <c r="C467" s="10">
        <v>2657.53</v>
      </c>
      <c r="D467" s="10">
        <v>4595.63</v>
      </c>
      <c r="E467" s="10">
        <v>1519.63</v>
      </c>
      <c r="F467" s="10">
        <v>1862.9</v>
      </c>
      <c r="G467" s="10">
        <v>245.51</v>
      </c>
      <c r="H467" s="10">
        <v>74.349999999999994</v>
      </c>
      <c r="I467" s="10">
        <v>1087.6199999999999</v>
      </c>
      <c r="J467" s="10">
        <v>5200.03</v>
      </c>
      <c r="K467" s="10">
        <v>12152.2</v>
      </c>
      <c r="L467" s="10">
        <v>11.75</v>
      </c>
      <c r="M467" s="10">
        <v>17.75</v>
      </c>
    </row>
    <row r="468" spans="2:13" x14ac:dyDescent="0.35">
      <c r="B468" s="3" t="s">
        <v>51</v>
      </c>
      <c r="C468" s="14">
        <v>766.1</v>
      </c>
      <c r="D468" s="14">
        <v>556.94000000000005</v>
      </c>
      <c r="E468" s="14">
        <v>551.54</v>
      </c>
      <c r="F468" s="14">
        <v>600.6</v>
      </c>
      <c r="G468" s="14">
        <v>9.49</v>
      </c>
      <c r="H468" s="14">
        <v>72.59</v>
      </c>
      <c r="I468" s="14">
        <v>212.72</v>
      </c>
      <c r="J468" s="14">
        <v>428.87</v>
      </c>
      <c r="K468" s="14">
        <v>9093.4</v>
      </c>
      <c r="L468" s="14">
        <v>10.98</v>
      </c>
      <c r="M468" s="14">
        <v>5.13</v>
      </c>
    </row>
    <row r="469" spans="2:13" x14ac:dyDescent="0.35">
      <c r="B469" s="3" t="s">
        <v>52</v>
      </c>
      <c r="C469" s="10">
        <v>951.63</v>
      </c>
      <c r="D469" s="10">
        <v>1031.92</v>
      </c>
      <c r="E469" s="10">
        <v>912.19</v>
      </c>
      <c r="F469" s="10">
        <v>1209.49</v>
      </c>
      <c r="G469" s="10">
        <v>51.1</v>
      </c>
      <c r="H469" s="10">
        <v>71.67</v>
      </c>
      <c r="I469" s="10">
        <v>55.58</v>
      </c>
      <c r="J469" s="10">
        <v>1064.6099999999999</v>
      </c>
      <c r="K469" s="10">
        <v>10939.6</v>
      </c>
      <c r="L469" s="10">
        <v>11.16</v>
      </c>
      <c r="M469" s="10">
        <v>116.8</v>
      </c>
    </row>
    <row r="470" spans="2:13" x14ac:dyDescent="0.35">
      <c r="B470" s="3" t="s">
        <v>53</v>
      </c>
      <c r="C470" s="14">
        <v>1177.03</v>
      </c>
      <c r="D470" s="14">
        <v>1111.3900000000001</v>
      </c>
      <c r="E470" s="14">
        <v>616</v>
      </c>
      <c r="F470" s="14">
        <v>1347.11</v>
      </c>
      <c r="G470" s="14">
        <v>25.23</v>
      </c>
      <c r="H470" s="14">
        <v>68.489999999999995</v>
      </c>
      <c r="I470" s="14">
        <v>214.4</v>
      </c>
      <c r="J470" s="14">
        <v>1003</v>
      </c>
      <c r="K470" s="14">
        <v>9500.2000000000007</v>
      </c>
      <c r="L470" s="14">
        <v>10.99</v>
      </c>
      <c r="M470" s="14">
        <v>14.2</v>
      </c>
    </row>
    <row r="471" spans="2:13" x14ac:dyDescent="0.35">
      <c r="B471" s="3" t="s">
        <v>54</v>
      </c>
      <c r="C471" s="10">
        <v>1760.55</v>
      </c>
      <c r="D471" s="10">
        <v>3549.88</v>
      </c>
      <c r="E471" s="10">
        <v>1261.08</v>
      </c>
      <c r="F471" s="10">
        <v>3113.34</v>
      </c>
      <c r="G471" s="10">
        <v>117.26</v>
      </c>
      <c r="H471" s="10">
        <v>70.540000000000006</v>
      </c>
      <c r="I471" s="10">
        <v>361.74</v>
      </c>
      <c r="J471" s="10">
        <v>3737.31</v>
      </c>
      <c r="K471" s="10">
        <v>11125</v>
      </c>
      <c r="L471" s="10">
        <v>10.9</v>
      </c>
      <c r="M471" s="10">
        <v>46.14</v>
      </c>
    </row>
    <row r="472" spans="2:13" x14ac:dyDescent="0.35">
      <c r="B472" s="3" t="s">
        <v>55</v>
      </c>
      <c r="C472" s="14">
        <v>718.72</v>
      </c>
      <c r="D472" s="14">
        <v>922.61</v>
      </c>
      <c r="E472" s="14">
        <v>1177</v>
      </c>
      <c r="F472" s="14">
        <v>1436.04</v>
      </c>
      <c r="G472" s="14">
        <v>62.01</v>
      </c>
      <c r="H472" s="14">
        <v>71.11</v>
      </c>
      <c r="I472" s="14">
        <v>187.66</v>
      </c>
      <c r="J472" s="14">
        <v>890.58</v>
      </c>
      <c r="K472" s="14">
        <v>9423.6</v>
      </c>
      <c r="L472" s="14">
        <v>11.31</v>
      </c>
      <c r="M472" s="14">
        <v>28.35</v>
      </c>
    </row>
    <row r="473" spans="2:13" x14ac:dyDescent="0.35">
      <c r="B473" s="3" t="s">
        <v>56</v>
      </c>
      <c r="C473" s="10">
        <v>538.01</v>
      </c>
      <c r="D473" s="10">
        <v>432.38</v>
      </c>
      <c r="E473" s="10">
        <v>251.02</v>
      </c>
      <c r="F473" s="10">
        <v>655.86</v>
      </c>
      <c r="G473" s="10">
        <v>4.79</v>
      </c>
      <c r="H473" s="10">
        <v>68.03</v>
      </c>
      <c r="I473" s="10">
        <v>49.52</v>
      </c>
      <c r="J473" s="10">
        <v>386.26</v>
      </c>
      <c r="K473" s="10">
        <v>8352</v>
      </c>
      <c r="L473" s="10">
        <v>10.43</v>
      </c>
      <c r="M473" s="10">
        <v>10.199999999999999</v>
      </c>
    </row>
    <row r="474" spans="2:13" x14ac:dyDescent="0.35">
      <c r="B474" s="3" t="s">
        <v>57</v>
      </c>
      <c r="C474" s="14">
        <v>554.35</v>
      </c>
      <c r="D474" s="14">
        <v>465.42</v>
      </c>
      <c r="E474" s="14">
        <v>396.78</v>
      </c>
      <c r="F474" s="14">
        <v>547.1</v>
      </c>
      <c r="G474" s="14">
        <v>9.7899999999999991</v>
      </c>
      <c r="H474" s="14">
        <v>65.069999999999993</v>
      </c>
      <c r="I474" s="14">
        <v>38.93</v>
      </c>
      <c r="J474" s="14">
        <v>315.3</v>
      </c>
      <c r="K474" s="14">
        <v>9193</v>
      </c>
      <c r="L474" s="14">
        <v>10.29</v>
      </c>
      <c r="M474" s="14">
        <v>7.78</v>
      </c>
    </row>
    <row r="475" spans="2:13" x14ac:dyDescent="0.35">
      <c r="B475" s="3" t="s">
        <v>58</v>
      </c>
      <c r="C475" s="10">
        <v>740.06</v>
      </c>
      <c r="D475" s="10">
        <v>739.93</v>
      </c>
      <c r="E475" s="10">
        <v>578.01</v>
      </c>
      <c r="F475" s="10">
        <v>964.46</v>
      </c>
      <c r="G475" s="10">
        <v>20.149999999999999</v>
      </c>
      <c r="H475" s="10">
        <v>65.989999999999995</v>
      </c>
      <c r="I475" s="10">
        <v>44.33</v>
      </c>
      <c r="J475" s="10">
        <v>397.6</v>
      </c>
      <c r="K475" s="10">
        <v>8797.2000000000007</v>
      </c>
      <c r="L475" s="10">
        <v>11.94</v>
      </c>
      <c r="M475" s="10">
        <v>73.53</v>
      </c>
    </row>
    <row r="476" spans="2:13" x14ac:dyDescent="0.35">
      <c r="B476" s="3" t="s">
        <v>59</v>
      </c>
      <c r="C476" s="14">
        <v>820.1</v>
      </c>
      <c r="D476" s="14">
        <v>562.57000000000005</v>
      </c>
      <c r="E476" s="14">
        <v>685.75</v>
      </c>
      <c r="F476" s="14">
        <v>719.7</v>
      </c>
      <c r="G476" s="14">
        <v>0.42</v>
      </c>
      <c r="H476" s="14">
        <v>68.31</v>
      </c>
      <c r="I476" s="14">
        <v>119.26</v>
      </c>
      <c r="J476" s="14">
        <v>388.23</v>
      </c>
      <c r="K476" s="14">
        <v>8171.6</v>
      </c>
      <c r="L476" s="14">
        <v>11.35</v>
      </c>
      <c r="M476" s="14">
        <v>6.22</v>
      </c>
    </row>
    <row r="477" spans="2:13" x14ac:dyDescent="0.35">
      <c r="B477" s="3" t="s">
        <v>60</v>
      </c>
      <c r="C477" s="10">
        <v>1558.62</v>
      </c>
      <c r="D477" s="10">
        <v>4042.76</v>
      </c>
      <c r="E477" s="10">
        <v>1894.85</v>
      </c>
      <c r="F477" s="10">
        <v>811.87</v>
      </c>
      <c r="G477" s="10">
        <v>22.33</v>
      </c>
      <c r="H477" s="10">
        <v>66.010000000000005</v>
      </c>
      <c r="I477" s="10">
        <v>92.48</v>
      </c>
      <c r="J477" s="10">
        <v>387.72</v>
      </c>
      <c r="K477" s="10">
        <v>8011.4</v>
      </c>
      <c r="L477" s="10">
        <v>10.24</v>
      </c>
      <c r="M477" s="10">
        <v>3.98</v>
      </c>
    </row>
    <row r="478" spans="2:13" x14ac:dyDescent="0.35">
      <c r="B478" s="3" t="s">
        <v>61</v>
      </c>
      <c r="C478" s="14">
        <v>3839.83</v>
      </c>
      <c r="D478" s="14">
        <v>5460.81</v>
      </c>
      <c r="E478" s="14">
        <v>1628.03</v>
      </c>
      <c r="F478" s="14">
        <v>2177.29</v>
      </c>
      <c r="G478" s="14">
        <v>175.22</v>
      </c>
      <c r="H478" s="14">
        <v>65.790000000000006</v>
      </c>
      <c r="I478" s="14">
        <v>330.47</v>
      </c>
      <c r="J478" s="14">
        <v>1224.29</v>
      </c>
      <c r="K478" s="14">
        <v>7110</v>
      </c>
      <c r="L478" s="14">
        <v>8.89</v>
      </c>
      <c r="M478" s="14">
        <v>36.619999999999997</v>
      </c>
    </row>
    <row r="479" spans="2:13" ht="10" customHeight="1" x14ac:dyDescent="0.35"/>
    <row r="481" spans="2:10" x14ac:dyDescent="0.35">
      <c r="B481" s="1" t="s">
        <v>155</v>
      </c>
    </row>
    <row r="482" spans="2:10" ht="5" customHeight="1" x14ac:dyDescent="0.35"/>
    <row r="483" spans="2:10" x14ac:dyDescent="0.35">
      <c r="B483" s="4" t="s">
        <v>4</v>
      </c>
      <c r="C483" s="3" t="s">
        <v>65</v>
      </c>
      <c r="D483" s="3" t="s">
        <v>66</v>
      </c>
      <c r="E483" s="3" t="s">
        <v>67</v>
      </c>
      <c r="F483" s="3" t="s">
        <v>68</v>
      </c>
      <c r="G483" s="3" t="s">
        <v>69</v>
      </c>
      <c r="H483" s="3" t="s">
        <v>70</v>
      </c>
      <c r="I483" s="3" t="s">
        <v>71</v>
      </c>
      <c r="J483" s="3" t="s">
        <v>72</v>
      </c>
    </row>
    <row r="484" spans="2:10" x14ac:dyDescent="0.35">
      <c r="B484" s="3" t="s">
        <v>14</v>
      </c>
      <c r="C484" s="10">
        <v>2401.7764705882355</v>
      </c>
      <c r="D484" s="10">
        <v>1403.8</v>
      </c>
      <c r="E484" s="10">
        <v>538.01</v>
      </c>
      <c r="F484" s="10">
        <v>19920.95</v>
      </c>
      <c r="G484" s="10">
        <v>3388.8462054865349</v>
      </c>
      <c r="H484" s="10">
        <v>21.313937407952913</v>
      </c>
      <c r="I484" s="10">
        <v>4.3055242607127218</v>
      </c>
      <c r="J484" s="10">
        <v>34</v>
      </c>
    </row>
    <row r="485" spans="2:10" x14ac:dyDescent="0.35">
      <c r="B485" s="3" t="s">
        <v>15</v>
      </c>
      <c r="C485" s="14">
        <v>3856.3908823529414</v>
      </c>
      <c r="D485" s="14">
        <v>2196.0700000000002</v>
      </c>
      <c r="E485" s="14">
        <v>432.38</v>
      </c>
      <c r="F485" s="14">
        <v>21484.44</v>
      </c>
      <c r="G485" s="14">
        <v>4759.6016265812732</v>
      </c>
      <c r="H485" s="14">
        <v>5.5570268208996598</v>
      </c>
      <c r="I485" s="14">
        <v>2.3719194125463665</v>
      </c>
      <c r="J485" s="14">
        <v>34</v>
      </c>
    </row>
    <row r="486" spans="2:10" x14ac:dyDescent="0.35">
      <c r="B486" s="3" t="s">
        <v>16</v>
      </c>
      <c r="C486" s="10">
        <v>1334.7864705882353</v>
      </c>
      <c r="D486" s="10">
        <v>1074.18</v>
      </c>
      <c r="E486" s="10">
        <v>251.02</v>
      </c>
      <c r="F486" s="10">
        <v>8903.56</v>
      </c>
      <c r="G486" s="10">
        <v>1435.1306287661891</v>
      </c>
      <c r="H486" s="10">
        <v>23.278461467058499</v>
      </c>
      <c r="I486" s="10">
        <v>4.4903327932778287</v>
      </c>
      <c r="J486" s="10">
        <v>34</v>
      </c>
    </row>
    <row r="487" spans="2:10" x14ac:dyDescent="0.35">
      <c r="B487" s="3" t="s">
        <v>17</v>
      </c>
      <c r="C487" s="14">
        <v>2512.3223529411762</v>
      </c>
      <c r="D487" s="14">
        <v>1559</v>
      </c>
      <c r="E487" s="14">
        <v>547.1</v>
      </c>
      <c r="F487" s="14">
        <v>19415.560000000001</v>
      </c>
      <c r="G487" s="14">
        <v>3334.2097324906913</v>
      </c>
      <c r="H487" s="14">
        <v>19.602572292792999</v>
      </c>
      <c r="I487" s="14">
        <v>4.1351789038440883</v>
      </c>
      <c r="J487" s="14">
        <v>34</v>
      </c>
    </row>
    <row r="488" spans="2:10" x14ac:dyDescent="0.35">
      <c r="B488" s="3" t="s">
        <v>18</v>
      </c>
      <c r="C488" s="10">
        <v>121.16764705882352</v>
      </c>
      <c r="D488" s="10">
        <v>62.08</v>
      </c>
      <c r="E488" s="10">
        <v>0.42</v>
      </c>
      <c r="F488" s="10">
        <v>537.22</v>
      </c>
      <c r="G488" s="10">
        <v>145.6133215677504</v>
      </c>
      <c r="H488" s="10">
        <v>2.0362320699766987</v>
      </c>
      <c r="I488" s="10">
        <v>1.7034195696905943</v>
      </c>
      <c r="J488" s="10">
        <v>34</v>
      </c>
    </row>
    <row r="489" spans="2:10" x14ac:dyDescent="0.35">
      <c r="B489" s="3" t="s">
        <v>19</v>
      </c>
      <c r="C489" s="14">
        <v>70.024411764705889</v>
      </c>
      <c r="D489" s="14">
        <v>70</v>
      </c>
      <c r="E489" s="14">
        <v>65.069999999999993</v>
      </c>
      <c r="F489" s="14">
        <v>74.97</v>
      </c>
      <c r="G489" s="14">
        <v>2.4909780634928858</v>
      </c>
      <c r="H489" s="14">
        <v>-0.38554322763550619</v>
      </c>
      <c r="I489" s="14">
        <v>-8.9804324343274511E-2</v>
      </c>
      <c r="J489" s="14">
        <v>34</v>
      </c>
    </row>
    <row r="490" spans="2:10" x14ac:dyDescent="0.35">
      <c r="B490" s="3" t="s">
        <v>20</v>
      </c>
      <c r="C490" s="10">
        <v>575.58794117647074</v>
      </c>
      <c r="D490" s="10">
        <v>252.62</v>
      </c>
      <c r="E490" s="10">
        <v>38.93</v>
      </c>
      <c r="F490" s="10">
        <v>4794.3500000000004</v>
      </c>
      <c r="G490" s="10">
        <v>948.90787360051741</v>
      </c>
      <c r="H490" s="10">
        <v>11.963956208776006</v>
      </c>
      <c r="I490" s="10">
        <v>3.3271476734679122</v>
      </c>
      <c r="J490" s="10">
        <v>34</v>
      </c>
    </row>
    <row r="491" spans="2:10" x14ac:dyDescent="0.35">
      <c r="B491" s="3" t="s">
        <v>21</v>
      </c>
      <c r="C491" s="14">
        <v>4161.7917647058821</v>
      </c>
      <c r="D491" s="14">
        <v>1509.59</v>
      </c>
      <c r="E491" s="14">
        <v>315.3</v>
      </c>
      <c r="F491" s="14">
        <v>36916.6</v>
      </c>
      <c r="G491" s="14">
        <v>7096.5186101195677</v>
      </c>
      <c r="H491" s="14">
        <v>13.223459396685378</v>
      </c>
      <c r="I491" s="14">
        <v>3.4216113923482818</v>
      </c>
      <c r="J491" s="14">
        <v>34</v>
      </c>
    </row>
    <row r="492" spans="2:10" x14ac:dyDescent="0.35">
      <c r="B492" s="3" t="s">
        <v>22</v>
      </c>
      <c r="C492" s="10">
        <v>10449.076470588234</v>
      </c>
      <c r="D492" s="10">
        <v>10455.6</v>
      </c>
      <c r="E492" s="10">
        <v>7110</v>
      </c>
      <c r="F492" s="10">
        <v>18465.8</v>
      </c>
      <c r="G492" s="10">
        <v>2196.0597061500348</v>
      </c>
      <c r="H492" s="10">
        <v>3.9272785837278863</v>
      </c>
      <c r="I492" s="10">
        <v>1.5486058937245326</v>
      </c>
      <c r="J492" s="10">
        <v>34</v>
      </c>
    </row>
    <row r="493" spans="2:10" x14ac:dyDescent="0.35">
      <c r="B493" s="3" t="s">
        <v>23</v>
      </c>
      <c r="C493" s="14">
        <v>10.884117647058826</v>
      </c>
      <c r="D493" s="14">
        <v>10.9</v>
      </c>
      <c r="E493" s="14">
        <v>8.89</v>
      </c>
      <c r="F493" s="14">
        <v>12.57</v>
      </c>
      <c r="G493" s="14">
        <v>0.71272516626660365</v>
      </c>
      <c r="H493" s="14">
        <v>0.82027775368440947</v>
      </c>
      <c r="I493" s="14">
        <v>-7.9141084500950087E-2</v>
      </c>
      <c r="J493" s="14">
        <v>34</v>
      </c>
    </row>
    <row r="494" spans="2:10" x14ac:dyDescent="0.35">
      <c r="B494" s="3" t="s">
        <v>24</v>
      </c>
      <c r="C494" s="10">
        <v>43.520588235294127</v>
      </c>
      <c r="D494" s="10">
        <v>17.75</v>
      </c>
      <c r="E494" s="10">
        <v>3.89</v>
      </c>
      <c r="F494" s="10">
        <v>484.62</v>
      </c>
      <c r="G494" s="10">
        <v>82.234433890560936</v>
      </c>
      <c r="H494" s="10">
        <v>25.118963359122148</v>
      </c>
      <c r="I494" s="10">
        <v>4.7657285388655621</v>
      </c>
      <c r="J494" s="10">
        <v>34</v>
      </c>
    </row>
    <row r="495" spans="2:10" ht="10" customHeight="1" x14ac:dyDescent="0.35"/>
    <row r="497" spans="2:21" ht="15.5" x14ac:dyDescent="0.35">
      <c r="B497" s="20" t="s">
        <v>157</v>
      </c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</row>
    <row r="498" spans="2:21" ht="5" customHeight="1" x14ac:dyDescent="0.35"/>
    <row r="499" spans="2:21" x14ac:dyDescent="0.35">
      <c r="B499" s="4" t="s">
        <v>27</v>
      </c>
      <c r="C499" s="3" t="s">
        <v>14</v>
      </c>
      <c r="D499" s="3" t="s">
        <v>15</v>
      </c>
      <c r="E499" s="3" t="s">
        <v>16</v>
      </c>
      <c r="F499" s="3" t="s">
        <v>17</v>
      </c>
      <c r="G499" s="3" t="s">
        <v>18</v>
      </c>
      <c r="H499" s="3" t="s">
        <v>19</v>
      </c>
      <c r="I499" s="3" t="s">
        <v>20</v>
      </c>
      <c r="J499" s="3" t="s">
        <v>21</v>
      </c>
      <c r="K499" s="3" t="s">
        <v>22</v>
      </c>
      <c r="L499" s="3" t="s">
        <v>23</v>
      </c>
      <c r="M499" s="3" t="s">
        <v>24</v>
      </c>
    </row>
    <row r="500" spans="2:21" x14ac:dyDescent="0.35">
      <c r="B500" s="3" t="s">
        <v>28</v>
      </c>
      <c r="C500" s="10">
        <v>0.63103587467308631</v>
      </c>
      <c r="D500" s="10">
        <v>0.15956779101123578</v>
      </c>
      <c r="E500" s="10">
        <v>0.81046526782842443</v>
      </c>
      <c r="F500" s="10">
        <v>-2.3220953576284574E-3</v>
      </c>
      <c r="G500" s="10">
        <v>0.37388305104932151</v>
      </c>
      <c r="H500" s="10">
        <v>-4.1915971174583198E-2</v>
      </c>
      <c r="I500" s="10">
        <v>0.37581315188207631</v>
      </c>
      <c r="J500" s="10">
        <v>-0.37666945041110017</v>
      </c>
      <c r="K500" s="10">
        <v>-0.4033936181731983</v>
      </c>
      <c r="L500" s="10">
        <v>1.2850428135416474</v>
      </c>
      <c r="M500" s="10">
        <v>-0.36068331515198332</v>
      </c>
    </row>
    <row r="501" spans="2:21" x14ac:dyDescent="0.35">
      <c r="B501" s="3" t="s">
        <v>29</v>
      </c>
      <c r="C501" s="14">
        <v>1.9060625798594109E-2</v>
      </c>
      <c r="D501" s="14">
        <v>0.35712003881886956</v>
      </c>
      <c r="E501" s="14">
        <v>7.7458823039220012E-2</v>
      </c>
      <c r="F501" s="14">
        <v>0.26920251546033491</v>
      </c>
      <c r="G501" s="14">
        <v>1.307039430816253</v>
      </c>
      <c r="H501" s="14">
        <v>-0.37110393634284783</v>
      </c>
      <c r="I501" s="14">
        <v>-0.36483830602318018</v>
      </c>
      <c r="J501" s="14">
        <v>0.19495449970655507</v>
      </c>
      <c r="K501" s="14">
        <v>-0.80292738200614644</v>
      </c>
      <c r="L501" s="14">
        <v>0.68172470390841089</v>
      </c>
      <c r="M501" s="14">
        <v>-0.13693276286524841</v>
      </c>
    </row>
    <row r="502" spans="2:21" x14ac:dyDescent="0.35">
      <c r="B502" s="3" t="s">
        <v>30</v>
      </c>
      <c r="C502" s="10">
        <v>-0.24051444685469783</v>
      </c>
      <c r="D502" s="10">
        <v>-0.42587406286960372</v>
      </c>
      <c r="E502" s="10">
        <v>-0.30208850811089955</v>
      </c>
      <c r="F502" s="10">
        <v>-0.12885582714085483</v>
      </c>
      <c r="G502" s="10">
        <v>-0.20992342410512987</v>
      </c>
      <c r="H502" s="10">
        <v>-0.22658239065922098</v>
      </c>
      <c r="I502" s="10">
        <v>-0.20081816842073558</v>
      </c>
      <c r="J502" s="10">
        <v>-0.30981977015753048</v>
      </c>
      <c r="K502" s="10">
        <v>0.17946849455323521</v>
      </c>
      <c r="L502" s="10">
        <v>0.87815385588202288</v>
      </c>
      <c r="M502" s="10">
        <v>-0.36250736856736432</v>
      </c>
    </row>
    <row r="503" spans="2:21" x14ac:dyDescent="0.35">
      <c r="B503" s="3" t="s">
        <v>31</v>
      </c>
      <c r="C503" s="14">
        <v>-3.3340689939044946E-2</v>
      </c>
      <c r="D503" s="14">
        <v>-0.17750873888993843</v>
      </c>
      <c r="E503" s="14">
        <v>-0.14211700767865351</v>
      </c>
      <c r="F503" s="14">
        <v>-8.1009406909566872E-2</v>
      </c>
      <c r="G503" s="14">
        <v>-6.536247478150671E-2</v>
      </c>
      <c r="H503" s="14">
        <v>0.62448893392214033</v>
      </c>
      <c r="I503" s="14">
        <v>-9.6856548178630916E-2</v>
      </c>
      <c r="J503" s="14">
        <v>-0.12900294003321966</v>
      </c>
      <c r="K503" s="14">
        <v>0.23192608469861375</v>
      </c>
      <c r="L503" s="14">
        <v>0.3870809759479954</v>
      </c>
      <c r="M503" s="14">
        <v>-0.36044010802993248</v>
      </c>
    </row>
    <row r="504" spans="2:21" x14ac:dyDescent="0.35">
      <c r="B504" s="3" t="s">
        <v>32</v>
      </c>
      <c r="C504" s="10">
        <v>-0.43271555617192858</v>
      </c>
      <c r="D504" s="10">
        <v>-0.50845660461109132</v>
      </c>
      <c r="E504" s="10">
        <v>-0.4213598807434788</v>
      </c>
      <c r="F504" s="10">
        <v>-0.32834537739873065</v>
      </c>
      <c r="G504" s="10">
        <v>-0.6286351143788258</v>
      </c>
      <c r="H504" s="10">
        <v>0.45989495133801084</v>
      </c>
      <c r="I504" s="10">
        <v>-0.35950586001785784</v>
      </c>
      <c r="J504" s="10">
        <v>-0.37671595208581282</v>
      </c>
      <c r="K504" s="10">
        <v>5.0510252112511485E-2</v>
      </c>
      <c r="L504" s="10">
        <v>-0.20220647997283808</v>
      </c>
      <c r="M504" s="10">
        <v>-0.31666282606078872</v>
      </c>
    </row>
    <row r="505" spans="2:21" x14ac:dyDescent="0.35">
      <c r="B505" s="3" t="s">
        <v>33</v>
      </c>
      <c r="C505" s="14">
        <v>-0.24858799116476546</v>
      </c>
      <c r="D505" s="14">
        <v>0.10946485830606976</v>
      </c>
      <c r="E505" s="14">
        <v>0.25195164967151829</v>
      </c>
      <c r="F505" s="14">
        <v>-0.21167005364535718</v>
      </c>
      <c r="G505" s="14">
        <v>-0.30002507042940224</v>
      </c>
      <c r="H505" s="14">
        <v>-7.0017382835291422E-2</v>
      </c>
      <c r="I505" s="14">
        <v>-0.34996858010715282</v>
      </c>
      <c r="J505" s="14">
        <v>-0.12220383153356802</v>
      </c>
      <c r="K505" s="14">
        <v>0.16088976471007965</v>
      </c>
      <c r="L505" s="14">
        <v>-0.76343262846887061</v>
      </c>
      <c r="M505" s="14">
        <v>-0.40567663273138116</v>
      </c>
    </row>
    <row r="506" spans="2:21" x14ac:dyDescent="0.35">
      <c r="B506" s="3" t="s">
        <v>34</v>
      </c>
      <c r="C506" s="10">
        <v>-0.49768752204147115</v>
      </c>
      <c r="D506" s="10">
        <v>-0.67898138035434563</v>
      </c>
      <c r="E506" s="10">
        <v>-0.57906677896122538</v>
      </c>
      <c r="F506" s="10">
        <v>-0.42509693950248045</v>
      </c>
      <c r="G506" s="10">
        <v>-0.72931271614055093</v>
      </c>
      <c r="H506" s="10">
        <v>-0.29081418874083165</v>
      </c>
      <c r="I506" s="10">
        <v>-0.42704666327499402</v>
      </c>
      <c r="J506" s="10">
        <v>-0.48674455102255881</v>
      </c>
      <c r="K506" s="10">
        <v>2.9705610432619158E-3</v>
      </c>
      <c r="L506" s="10">
        <v>0.45723424451000044</v>
      </c>
      <c r="M506" s="10">
        <v>-0.4819220654943065</v>
      </c>
    </row>
    <row r="507" spans="2:21" x14ac:dyDescent="0.35">
      <c r="B507" s="3" t="s">
        <v>35</v>
      </c>
      <c r="C507" s="14">
        <v>-0.2759394832005902</v>
      </c>
      <c r="D507" s="14">
        <v>-0.25870881198882945</v>
      </c>
      <c r="E507" s="14">
        <v>-0.18159076627908349</v>
      </c>
      <c r="F507" s="14">
        <v>-0.17646830887919229</v>
      </c>
      <c r="G507" s="14">
        <v>-0.60631572790368216</v>
      </c>
      <c r="H507" s="14">
        <v>0.23508365805236778</v>
      </c>
      <c r="I507" s="14">
        <v>-0.18680205540279343</v>
      </c>
      <c r="J507" s="14">
        <v>-0.20769927420524978</v>
      </c>
      <c r="K507" s="14">
        <v>-0.1746202389280733</v>
      </c>
      <c r="L507" s="14">
        <v>-0.76343262846887061</v>
      </c>
      <c r="M507" s="14">
        <v>-0.38998977335910451</v>
      </c>
    </row>
    <row r="508" spans="2:21" x14ac:dyDescent="0.35">
      <c r="B508" s="3" t="s">
        <v>36</v>
      </c>
      <c r="C508" s="10">
        <v>-0.52627542309261699</v>
      </c>
      <c r="D508" s="10">
        <v>-0.66599499938186979</v>
      </c>
      <c r="E508" s="10">
        <v>-0.65473933295957853</v>
      </c>
      <c r="F508" s="10">
        <v>-0.50769522278272072</v>
      </c>
      <c r="G508" s="10">
        <v>-0.79372989925958115</v>
      </c>
      <c r="H508" s="10">
        <v>0.23508365805236778</v>
      </c>
      <c r="I508" s="10">
        <v>-0.53784772513262069</v>
      </c>
      <c r="J508" s="10">
        <v>-0.47492748907891558</v>
      </c>
      <c r="K508" s="10">
        <v>1.1247979836314195</v>
      </c>
      <c r="L508" s="10">
        <v>-1.1983828935532961</v>
      </c>
      <c r="M508" s="10">
        <v>-0.44313052952720411</v>
      </c>
    </row>
    <row r="509" spans="2:21" x14ac:dyDescent="0.35">
      <c r="B509" s="3" t="s">
        <v>37</v>
      </c>
      <c r="C509" s="14">
        <v>-0.35511687389055147</v>
      </c>
      <c r="D509" s="14">
        <v>-0.60428815434682459</v>
      </c>
      <c r="E509" s="14">
        <v>-0.54959211013866249</v>
      </c>
      <c r="F509" s="14">
        <v>-0.46244012124257744</v>
      </c>
      <c r="G509" s="14">
        <v>-0.81350830942832386</v>
      </c>
      <c r="H509" s="14">
        <v>-9.800072133777862E-3</v>
      </c>
      <c r="I509" s="14">
        <v>-0.45509996617255938</v>
      </c>
      <c r="J509" s="14">
        <v>-0.41730768668497664</v>
      </c>
      <c r="K509" s="14">
        <v>1.7300638588157748</v>
      </c>
      <c r="L509" s="14">
        <v>0.86412320216962246</v>
      </c>
      <c r="M509" s="14">
        <v>-0.41844500663904804</v>
      </c>
    </row>
    <row r="510" spans="2:21" x14ac:dyDescent="0.35">
      <c r="B510" s="3" t="s">
        <v>38</v>
      </c>
      <c r="C510" s="10">
        <v>5.1696573013694929</v>
      </c>
      <c r="D510" s="10">
        <v>1.8673178587072019</v>
      </c>
      <c r="E510" s="10">
        <v>5.273926552538839</v>
      </c>
      <c r="F510" s="10">
        <v>5.0696383860747503</v>
      </c>
      <c r="G510" s="10">
        <v>2.8572410028267732</v>
      </c>
      <c r="H510" s="10">
        <v>1.1704592176158424</v>
      </c>
      <c r="I510" s="10">
        <v>4.4459132189681823</v>
      </c>
      <c r="J510" s="10">
        <v>4.6156164782807831</v>
      </c>
      <c r="K510" s="10">
        <v>3.6505034480442595</v>
      </c>
      <c r="L510" s="10">
        <v>1.6779011174888689</v>
      </c>
      <c r="M510" s="10">
        <v>5.3639259236797194</v>
      </c>
    </row>
    <row r="511" spans="2:21" x14ac:dyDescent="0.35">
      <c r="B511" s="3" t="s">
        <v>39</v>
      </c>
      <c r="C511" s="14">
        <v>0.91958836148020262</v>
      </c>
      <c r="D511" s="14">
        <v>3.7036816315043013</v>
      </c>
      <c r="E511" s="14">
        <v>0.71103877860167464</v>
      </c>
      <c r="F511" s="14">
        <v>1.0832574843337062</v>
      </c>
      <c r="G511" s="14">
        <v>1.9429702577695778</v>
      </c>
      <c r="H511" s="14">
        <v>1.2186330661770532</v>
      </c>
      <c r="I511" s="14">
        <v>0.55948746300216157</v>
      </c>
      <c r="J511" s="14">
        <v>2.0967109441630027</v>
      </c>
      <c r="K511" s="14">
        <v>-0.63371522490525345</v>
      </c>
      <c r="L511" s="14">
        <v>-0.52491151535805713</v>
      </c>
      <c r="M511" s="14">
        <v>3.9149193499529965E-2</v>
      </c>
    </row>
    <row r="512" spans="2:21" x14ac:dyDescent="0.35">
      <c r="B512" s="3" t="s">
        <v>40</v>
      </c>
      <c r="C512" s="10">
        <v>0.67419510679262173</v>
      </c>
      <c r="D512" s="10">
        <v>1.8610148101847253</v>
      </c>
      <c r="E512" s="10">
        <v>0.17639755178900057</v>
      </c>
      <c r="F512" s="10">
        <v>1.1139754079849851</v>
      </c>
      <c r="G512" s="10">
        <v>2.6804714619436347</v>
      </c>
      <c r="H512" s="10">
        <v>1.74051642559015</v>
      </c>
      <c r="I512" s="10">
        <v>1.4799245510473373</v>
      </c>
      <c r="J512" s="10">
        <v>1.0989188732871826</v>
      </c>
      <c r="K512" s="10">
        <v>-0.7329839284789742</v>
      </c>
      <c r="L512" s="10">
        <v>-0.97389243415488314</v>
      </c>
      <c r="M512" s="10">
        <v>0.7349647696868653</v>
      </c>
    </row>
    <row r="513" spans="2:13" x14ac:dyDescent="0.35">
      <c r="B513" s="3" t="s">
        <v>41</v>
      </c>
      <c r="C513" s="14">
        <v>-0.37838142920508838</v>
      </c>
      <c r="D513" s="14">
        <v>-0.41551605313100065</v>
      </c>
      <c r="E513" s="14">
        <v>-0.30736328926897999</v>
      </c>
      <c r="F513" s="14">
        <v>-0.28592153146557892</v>
      </c>
      <c r="G513" s="14">
        <v>-0.176822057086609</v>
      </c>
      <c r="H513" s="14">
        <v>1.9854001557762955</v>
      </c>
      <c r="I513" s="14">
        <v>-0.45680719196872976</v>
      </c>
      <c r="J513" s="14">
        <v>-0.33908059668504681</v>
      </c>
      <c r="K513" s="14">
        <v>1.7032886305124046</v>
      </c>
      <c r="L513" s="14">
        <v>2.3654031493965086</v>
      </c>
      <c r="M513" s="14">
        <v>-4.4392452924919487E-2</v>
      </c>
    </row>
    <row r="514" spans="2:13" x14ac:dyDescent="0.35">
      <c r="B514" s="3" t="s">
        <v>42</v>
      </c>
      <c r="C514" s="10">
        <v>1.2505299067720126</v>
      </c>
      <c r="D514" s="10">
        <v>2.5713347624090441</v>
      </c>
      <c r="E514" s="10">
        <v>0.7411266320238562</v>
      </c>
      <c r="F514" s="10">
        <v>1.4423530710128336</v>
      </c>
      <c r="G514" s="10">
        <v>1.9896692817791097</v>
      </c>
      <c r="H514" s="10">
        <v>0.51609777465942164</v>
      </c>
      <c r="I514" s="10">
        <v>2.6446951581308502</v>
      </c>
      <c r="J514" s="10">
        <v>1.6109530409730723</v>
      </c>
      <c r="K514" s="10">
        <v>-0.3705165521272234</v>
      </c>
      <c r="L514" s="10">
        <v>-0.55297282278285809</v>
      </c>
      <c r="M514" s="10">
        <v>0.81254784162107019</v>
      </c>
    </row>
    <row r="515" spans="2:13" x14ac:dyDescent="0.35">
      <c r="B515" s="3" t="s">
        <v>43</v>
      </c>
      <c r="C515" s="14">
        <v>7.8564653946442534E-2</v>
      </c>
      <c r="D515" s="14">
        <v>0.19959004811278758</v>
      </c>
      <c r="E515" s="14">
        <v>2.7408859743635332E-3</v>
      </c>
      <c r="F515" s="14">
        <v>-0.1494214200403686</v>
      </c>
      <c r="G515" s="14">
        <v>-0.45605475064948392</v>
      </c>
      <c r="H515" s="14">
        <v>-2.1843534274080575E-2</v>
      </c>
      <c r="I515" s="14">
        <v>-0.34012568570207163</v>
      </c>
      <c r="J515" s="14">
        <v>0.33966066570401132</v>
      </c>
      <c r="K515" s="14">
        <v>0.74939835415355027</v>
      </c>
      <c r="L515" s="14">
        <v>2.2283979425574921E-2</v>
      </c>
      <c r="M515" s="14">
        <v>-0.35290068724635776</v>
      </c>
    </row>
    <row r="516" spans="2:13" x14ac:dyDescent="0.35">
      <c r="B516" s="3" t="s">
        <v>44</v>
      </c>
      <c r="C516" s="10">
        <v>-0.2944885692872441</v>
      </c>
      <c r="D516" s="10">
        <v>-0.26579974157661557</v>
      </c>
      <c r="E516" s="10">
        <v>-0.40789769157913092</v>
      </c>
      <c r="F516" s="10">
        <v>-0.26326848739819858</v>
      </c>
      <c r="G516" s="10">
        <v>0.40368801637305174</v>
      </c>
      <c r="H516" s="10">
        <v>0.84528573982768052</v>
      </c>
      <c r="I516" s="10">
        <v>-0.23185384724617886</v>
      </c>
      <c r="J516" s="10">
        <v>-0.16393556173402055</v>
      </c>
      <c r="K516" s="10">
        <v>0.45896909204658243</v>
      </c>
      <c r="L516" s="10">
        <v>0.3870809759479954</v>
      </c>
      <c r="M516" s="10">
        <v>-0.23324278319736474</v>
      </c>
    </row>
    <row r="517" spans="2:13" x14ac:dyDescent="0.35">
      <c r="B517" s="3" t="s">
        <v>45</v>
      </c>
      <c r="C517" s="14">
        <v>-0.34245769805349369</v>
      </c>
      <c r="D517" s="14">
        <v>-0.42076229051787528</v>
      </c>
      <c r="E517" s="14">
        <v>-0.33712364637091052</v>
      </c>
      <c r="F517" s="14">
        <v>-0.31704134945090112</v>
      </c>
      <c r="G517" s="14">
        <v>-0.45818367674403598</v>
      </c>
      <c r="H517" s="14">
        <v>-1.4228996299292411</v>
      </c>
      <c r="I517" s="14">
        <v>-0.18917320234191898</v>
      </c>
      <c r="J517" s="14">
        <v>-0.38558790796432196</v>
      </c>
      <c r="K517" s="14">
        <v>7.9795323245047036E-3</v>
      </c>
      <c r="L517" s="14">
        <v>-0.52491151535805713</v>
      </c>
      <c r="M517" s="14">
        <v>-0.3245670575274397</v>
      </c>
    </row>
    <row r="518" spans="2:13" x14ac:dyDescent="0.35">
      <c r="B518" s="3" t="s">
        <v>46</v>
      </c>
      <c r="C518" s="10">
        <v>-0.36717112407572183</v>
      </c>
      <c r="D518" s="10">
        <v>-0.44362344750889765</v>
      </c>
      <c r="E518" s="10">
        <v>-0.30646441638999394</v>
      </c>
      <c r="F518" s="10">
        <v>-0.32055042684515966</v>
      </c>
      <c r="G518" s="10">
        <v>-0.40578462480392941</v>
      </c>
      <c r="H518" s="10">
        <v>-1.2261897483043063</v>
      </c>
      <c r="I518" s="10">
        <v>-0.43007119292623414</v>
      </c>
      <c r="J518" s="10">
        <v>-0.45343526051172661</v>
      </c>
      <c r="K518" s="10">
        <v>-1.26420810090605</v>
      </c>
      <c r="L518" s="10">
        <v>-0.72134066733166913</v>
      </c>
      <c r="M518" s="10">
        <v>9.0587499813273867E-2</v>
      </c>
    </row>
    <row r="519" spans="2:13" x14ac:dyDescent="0.35">
      <c r="B519" s="3" t="s">
        <v>47</v>
      </c>
      <c r="C519" s="14">
        <v>-0.31584392022728763</v>
      </c>
      <c r="D519" s="14">
        <v>-0.34655019721423663</v>
      </c>
      <c r="E519" s="14">
        <v>-0.33940915260585158</v>
      </c>
      <c r="F519" s="14">
        <v>-0.33373795958238617</v>
      </c>
      <c r="G519" s="14">
        <v>-0.19859204327928764</v>
      </c>
      <c r="H519" s="14">
        <v>0.2471271201926705</v>
      </c>
      <c r="I519" s="14">
        <v>-0.34035753118056394</v>
      </c>
      <c r="J519" s="14">
        <v>-0.29106550383175567</v>
      </c>
      <c r="K519" s="14">
        <v>-0.64400638408307975</v>
      </c>
      <c r="L519" s="14">
        <v>-1.254505508402898</v>
      </c>
      <c r="M519" s="14">
        <v>-0.11613855392990512</v>
      </c>
    </row>
    <row r="520" spans="2:13" x14ac:dyDescent="0.35">
      <c r="B520" s="3" t="s">
        <v>48</v>
      </c>
      <c r="C520" s="10">
        <v>-0.45290826951761298</v>
      </c>
      <c r="D520" s="10">
        <v>-0.47693926098253447</v>
      </c>
      <c r="E520" s="10">
        <v>-0.17384234270208829</v>
      </c>
      <c r="F520" s="10">
        <v>-0.35267198145414197</v>
      </c>
      <c r="G520" s="10">
        <v>-0.27097553049406142</v>
      </c>
      <c r="H520" s="10">
        <v>-9.811879449599395E-2</v>
      </c>
      <c r="I520" s="10">
        <v>-0.33988330179273885</v>
      </c>
      <c r="J520" s="10">
        <v>-0.37373279919591385</v>
      </c>
      <c r="K520" s="10">
        <v>0.33838949247630185</v>
      </c>
      <c r="L520" s="10">
        <v>-0.39863563194645008</v>
      </c>
      <c r="M520" s="10">
        <v>-0.24661917491015869</v>
      </c>
    </row>
    <row r="521" spans="2:13" x14ac:dyDescent="0.35">
      <c r="B521" s="3" t="s">
        <v>49</v>
      </c>
      <c r="C521" s="14">
        <v>-0.2221689698898987</v>
      </c>
      <c r="D521" s="14">
        <v>-0.34883610281172134</v>
      </c>
      <c r="E521" s="14">
        <v>-0.17510355193539415</v>
      </c>
      <c r="F521" s="14">
        <v>-0.22243722274397959</v>
      </c>
      <c r="G521" s="14">
        <v>-0.56092152956500518</v>
      </c>
      <c r="H521" s="14">
        <v>-0.54372689368717719</v>
      </c>
      <c r="I521" s="14">
        <v>0.13498893031364489</v>
      </c>
      <c r="J521" s="14">
        <v>-0.1848528605047623</v>
      </c>
      <c r="K521" s="14">
        <v>0.79356837363360033</v>
      </c>
      <c r="L521" s="14">
        <v>-0.59506478392005957</v>
      </c>
      <c r="M521" s="14">
        <v>-0.15541650414110914</v>
      </c>
    </row>
    <row r="522" spans="2:13" x14ac:dyDescent="0.35">
      <c r="B522" s="3" t="s">
        <v>50</v>
      </c>
      <c r="C522" s="10">
        <v>7.5469205122882327E-2</v>
      </c>
      <c r="D522" s="10">
        <v>0.15531533427473831</v>
      </c>
      <c r="E522" s="10">
        <v>0.12879909724362762</v>
      </c>
      <c r="F522" s="10">
        <v>-0.19477549555829854</v>
      </c>
      <c r="G522" s="10">
        <v>0.85392154785318142</v>
      </c>
      <c r="H522" s="10">
        <v>1.7365019382100471</v>
      </c>
      <c r="I522" s="10">
        <v>0.5396014440060285</v>
      </c>
      <c r="J522" s="10">
        <v>0.14630247482386644</v>
      </c>
      <c r="K522" s="10">
        <v>0.77553607702112692</v>
      </c>
      <c r="L522" s="10">
        <v>1.2148895449796424</v>
      </c>
      <c r="M522" s="10">
        <v>-0.31337952991310292</v>
      </c>
    </row>
    <row r="523" spans="2:13" x14ac:dyDescent="0.35">
      <c r="B523" s="3" t="s">
        <v>51</v>
      </c>
      <c r="C523" s="14">
        <v>-0.48266470987679494</v>
      </c>
      <c r="D523" s="14">
        <v>-0.69321996696662003</v>
      </c>
      <c r="E523" s="14">
        <v>-0.54576667439786175</v>
      </c>
      <c r="F523" s="14">
        <v>-0.57336595664997347</v>
      </c>
      <c r="G523" s="14">
        <v>-0.76694663548940867</v>
      </c>
      <c r="H523" s="14">
        <v>1.0299521593123184</v>
      </c>
      <c r="I523" s="14">
        <v>-0.38240587023439032</v>
      </c>
      <c r="J523" s="14">
        <v>-0.52602155645484694</v>
      </c>
      <c r="K523" s="14">
        <v>-0.61732222798482261</v>
      </c>
      <c r="L523" s="14">
        <v>0.13452920912478142</v>
      </c>
      <c r="M523" s="14">
        <v>-0.46684322392715694</v>
      </c>
    </row>
    <row r="524" spans="2:13" x14ac:dyDescent="0.35">
      <c r="B524" s="3" t="s">
        <v>52</v>
      </c>
      <c r="C524" s="10">
        <v>-0.42791746295256816</v>
      </c>
      <c r="D524" s="10">
        <v>-0.59342590072642332</v>
      </c>
      <c r="E524" s="10">
        <v>-0.29446550865655341</v>
      </c>
      <c r="F524" s="10">
        <v>-0.39074697078757153</v>
      </c>
      <c r="G524" s="10">
        <v>-0.48118981357226109</v>
      </c>
      <c r="H524" s="10">
        <v>0.66061932034304849</v>
      </c>
      <c r="I524" s="10">
        <v>-0.54800677246291862</v>
      </c>
      <c r="J524" s="10">
        <v>-0.43643678469176855</v>
      </c>
      <c r="K524" s="10">
        <v>0.22336529741794459</v>
      </c>
      <c r="L524" s="10">
        <v>0.3870809759479954</v>
      </c>
      <c r="M524" s="10">
        <v>0.8911037420434782</v>
      </c>
    </row>
    <row r="525" spans="2:13" x14ac:dyDescent="0.35">
      <c r="B525" s="3" t="s">
        <v>53</v>
      </c>
      <c r="C525" s="14">
        <v>-0.36140514981334171</v>
      </c>
      <c r="D525" s="14">
        <v>-0.576729125190383</v>
      </c>
      <c r="E525" s="14">
        <v>-0.50085090247581887</v>
      </c>
      <c r="F525" s="14">
        <v>-0.34947182283903611</v>
      </c>
      <c r="G525" s="14">
        <v>-0.658852129914405</v>
      </c>
      <c r="H525" s="14">
        <v>-0.6159876665289935</v>
      </c>
      <c r="I525" s="14">
        <v>-0.38063541385317662</v>
      </c>
      <c r="J525" s="14">
        <v>-0.44511850644645323</v>
      </c>
      <c r="K525" s="14">
        <v>-0.43208136278395243</v>
      </c>
      <c r="L525" s="14">
        <v>0.14855986283718192</v>
      </c>
      <c r="M525" s="14">
        <v>-0.35654879407711976</v>
      </c>
    </row>
    <row r="526" spans="2:13" x14ac:dyDescent="0.35">
      <c r="B526" s="3" t="s">
        <v>54</v>
      </c>
      <c r="C526" s="10">
        <v>-0.18921675157464843</v>
      </c>
      <c r="D526" s="10">
        <v>-6.4398432137922845E-2</v>
      </c>
      <c r="E526" s="10">
        <v>-5.1358718928326601E-2</v>
      </c>
      <c r="F526" s="10">
        <v>0.18025790075594841</v>
      </c>
      <c r="G526" s="10">
        <v>-2.6835779973643271E-2</v>
      </c>
      <c r="H526" s="10">
        <v>0.20698224639166526</v>
      </c>
      <c r="I526" s="10">
        <v>-0.2253621738483951</v>
      </c>
      <c r="J526" s="10">
        <v>-5.9815493769096187E-2</v>
      </c>
      <c r="K526" s="10">
        <v>0.30778923155816379</v>
      </c>
      <c r="L526" s="10">
        <v>2.2283979425574921E-2</v>
      </c>
      <c r="M526" s="10">
        <v>3.1852979838005981E-2</v>
      </c>
    </row>
    <row r="527" spans="2:13" x14ac:dyDescent="0.35">
      <c r="B527" s="3" t="s">
        <v>55</v>
      </c>
      <c r="C527" s="14">
        <v>-0.49664586957748946</v>
      </c>
      <c r="D527" s="14">
        <v>-0.61639210852615356</v>
      </c>
      <c r="E527" s="14">
        <v>-0.10994572021913258</v>
      </c>
      <c r="F527" s="14">
        <v>-0.32279983543122287</v>
      </c>
      <c r="G527" s="14">
        <v>-0.40626535005108638</v>
      </c>
      <c r="H527" s="14">
        <v>0.4358080270574054</v>
      </c>
      <c r="I527" s="14">
        <v>-0.40881517792082872</v>
      </c>
      <c r="J527" s="14">
        <v>-0.46096007696522706</v>
      </c>
      <c r="K527" s="14">
        <v>-0.4669620173424251</v>
      </c>
      <c r="L527" s="14">
        <v>0.59754078163400792</v>
      </c>
      <c r="M527" s="14">
        <v>-0.18447975522617954</v>
      </c>
    </row>
    <row r="528" spans="2:13" x14ac:dyDescent="0.35">
      <c r="B528" s="3" t="s">
        <v>56</v>
      </c>
      <c r="C528" s="10">
        <v>-0.54997080350557126</v>
      </c>
      <c r="D528" s="10">
        <v>-0.71939022443194267</v>
      </c>
      <c r="E528" s="10">
        <v>-0.75516921516752189</v>
      </c>
      <c r="F528" s="10">
        <v>-0.55679231418785979</v>
      </c>
      <c r="G528" s="10">
        <v>-0.79922390208423189</v>
      </c>
      <c r="H528" s="10">
        <v>-0.80065408601362553</v>
      </c>
      <c r="I528" s="10">
        <v>-0.55439306155229684</v>
      </c>
      <c r="J528" s="10">
        <v>-0.53202590905940972</v>
      </c>
      <c r="K528" s="10">
        <v>-0.95492689234058625</v>
      </c>
      <c r="L528" s="10">
        <v>-0.63715674505726361</v>
      </c>
      <c r="M528" s="10">
        <v>-0.40519021848727949</v>
      </c>
    </row>
    <row r="529" spans="2:21" x14ac:dyDescent="0.35">
      <c r="B529" s="3" t="s">
        <v>57</v>
      </c>
      <c r="C529" s="14">
        <v>-0.54514910343150313</v>
      </c>
      <c r="D529" s="14">
        <v>-0.71244846699252184</v>
      </c>
      <c r="E529" s="14">
        <v>-0.65360354784892194</v>
      </c>
      <c r="F529" s="14">
        <v>-0.58941173789722423</v>
      </c>
      <c r="G529" s="14">
        <v>-0.76488638443016466</v>
      </c>
      <c r="H529" s="14">
        <v>-1.9889423505234514</v>
      </c>
      <c r="I529" s="14">
        <v>-0.56555325981244775</v>
      </c>
      <c r="J529" s="14">
        <v>-0.54202517826428598</v>
      </c>
      <c r="K529" s="14">
        <v>-0.57196826983829674</v>
      </c>
      <c r="L529" s="14">
        <v>-0.8335858970308756</v>
      </c>
      <c r="M529" s="14">
        <v>-0.43461828025542615</v>
      </c>
    </row>
    <row r="530" spans="2:21" x14ac:dyDescent="0.35">
      <c r="B530" s="3" t="s">
        <v>58</v>
      </c>
      <c r="C530" s="10">
        <v>-0.49034874108418386</v>
      </c>
      <c r="D530" s="10">
        <v>-0.65477347199568736</v>
      </c>
      <c r="E530" s="10">
        <v>-0.52732236036161484</v>
      </c>
      <c r="F530" s="10">
        <v>-0.4642366488999799</v>
      </c>
      <c r="G530" s="10">
        <v>-0.69373904785093732</v>
      </c>
      <c r="H530" s="10">
        <v>-1.6196095115541815</v>
      </c>
      <c r="I530" s="10">
        <v>-0.55986250715854635</v>
      </c>
      <c r="J530" s="10">
        <v>-0.53042794241928437</v>
      </c>
      <c r="K530" s="10">
        <v>-0.75220016375792331</v>
      </c>
      <c r="L530" s="10">
        <v>1.4814719655152568</v>
      </c>
      <c r="M530" s="10">
        <v>0.36492513348657496</v>
      </c>
    </row>
    <row r="531" spans="2:21" x14ac:dyDescent="0.35">
      <c r="B531" s="3" t="s">
        <v>59</v>
      </c>
      <c r="C531" s="14">
        <v>-0.46673008294902996</v>
      </c>
      <c r="D531" s="14">
        <v>-0.69203709486056864</v>
      </c>
      <c r="E531" s="14">
        <v>-0.45224905494925227</v>
      </c>
      <c r="F531" s="14">
        <v>-0.53764534830329003</v>
      </c>
      <c r="G531" s="14">
        <v>-0.8292348925138866</v>
      </c>
      <c r="H531" s="14">
        <v>-0.68824843937080404</v>
      </c>
      <c r="I531" s="14">
        <v>-0.4808980448702454</v>
      </c>
      <c r="J531" s="14">
        <v>-0.53174830815279184</v>
      </c>
      <c r="K531" s="14">
        <v>-1.0370740213529679</v>
      </c>
      <c r="L531" s="14">
        <v>0.65366339648360994</v>
      </c>
      <c r="M531" s="14">
        <v>-0.45358843577538849</v>
      </c>
    </row>
    <row r="532" spans="2:21" x14ac:dyDescent="0.35">
      <c r="B532" s="3" t="s">
        <v>60</v>
      </c>
      <c r="C532" s="10">
        <v>-0.24880340371397414</v>
      </c>
      <c r="D532" s="10">
        <v>3.9156453054018311E-2</v>
      </c>
      <c r="E532" s="10">
        <v>0.39025264891270739</v>
      </c>
      <c r="F532" s="10">
        <v>-0.51000161638629748</v>
      </c>
      <c r="G532" s="10">
        <v>-0.67876789015376404</v>
      </c>
      <c r="H532" s="10">
        <v>-1.6115805367939759</v>
      </c>
      <c r="I532" s="10">
        <v>-0.5091199626612597</v>
      </c>
      <c r="J532" s="10">
        <v>-0.53182017437734774</v>
      </c>
      <c r="K532" s="10">
        <v>-1.110022857648886</v>
      </c>
      <c r="L532" s="10">
        <v>-0.90373916559287804</v>
      </c>
      <c r="M532" s="10">
        <v>-0.48082763344507795</v>
      </c>
    </row>
    <row r="533" spans="2:21" x14ac:dyDescent="0.35">
      <c r="B533" s="3" t="s">
        <v>61</v>
      </c>
      <c r="C533" s="14">
        <v>0.42434900913578166</v>
      </c>
      <c r="D533" s="14">
        <v>0.33709105163061331</v>
      </c>
      <c r="E533" s="14">
        <v>0.20433229110570381</v>
      </c>
      <c r="F533" s="14">
        <v>-0.10048328684197785</v>
      </c>
      <c r="G533" s="14">
        <v>0.3712047246723042</v>
      </c>
      <c r="H533" s="14">
        <v>-1.6998992591561921</v>
      </c>
      <c r="I533" s="14">
        <v>-0.25831584708681993</v>
      </c>
      <c r="J533" s="14">
        <v>-0.41393561069748097</v>
      </c>
      <c r="K533" s="14">
        <v>-1.5204852860954539</v>
      </c>
      <c r="L533" s="14">
        <v>-2.7978774167669855</v>
      </c>
      <c r="M533" s="14">
        <v>-8.3913610258174287E-2</v>
      </c>
    </row>
    <row r="534" spans="2:21" ht="10" customHeight="1" x14ac:dyDescent="0.35"/>
    <row r="536" spans="2:21" ht="15.5" x14ac:dyDescent="0.35">
      <c r="B536" s="20" t="s">
        <v>158</v>
      </c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</row>
    <row r="537" spans="2:21" ht="5" customHeight="1" x14ac:dyDescent="0.35"/>
    <row r="539" spans="2:21" x14ac:dyDescent="0.35">
      <c r="B539" s="1" t="s">
        <v>159</v>
      </c>
    </row>
    <row r="540" spans="2:21" ht="5" customHeight="1" x14ac:dyDescent="0.35"/>
    <row r="541" spans="2:21" x14ac:dyDescent="0.35">
      <c r="B541" s="4" t="s">
        <v>4</v>
      </c>
      <c r="C541" s="3" t="s">
        <v>14</v>
      </c>
      <c r="D541" s="3" t="s">
        <v>15</v>
      </c>
      <c r="E541" s="3" t="s">
        <v>16</v>
      </c>
      <c r="F541" s="3" t="s">
        <v>17</v>
      </c>
      <c r="G541" s="3" t="s">
        <v>18</v>
      </c>
      <c r="H541" s="3" t="s">
        <v>19</v>
      </c>
      <c r="I541" s="3" t="s">
        <v>20</v>
      </c>
      <c r="J541" s="3" t="s">
        <v>21</v>
      </c>
      <c r="K541" s="3" t="s">
        <v>22</v>
      </c>
      <c r="L541" s="3" t="s">
        <v>23</v>
      </c>
      <c r="M541" s="3" t="s">
        <v>24</v>
      </c>
    </row>
    <row r="542" spans="2:21" x14ac:dyDescent="0.35">
      <c r="B542" s="3" t="s">
        <v>14</v>
      </c>
      <c r="C542" s="10">
        <v>1</v>
      </c>
      <c r="D542" s="10">
        <v>0.66358957726381773</v>
      </c>
      <c r="E542" s="10">
        <v>0.97402516108996995</v>
      </c>
      <c r="F542" s="10">
        <v>0.97852461675231239</v>
      </c>
      <c r="G542" s="10">
        <v>0.77275841180892713</v>
      </c>
      <c r="H542" s="10">
        <v>0.30674181967746628</v>
      </c>
      <c r="I542" s="10">
        <v>0.93168355464686103</v>
      </c>
      <c r="J542" s="10">
        <v>0.94089787630389821</v>
      </c>
      <c r="K542" s="10">
        <v>0.50927709530245679</v>
      </c>
      <c r="L542" s="10">
        <v>0.19091244539531763</v>
      </c>
      <c r="M542" s="10">
        <v>0.91303942265036775</v>
      </c>
    </row>
    <row r="543" spans="2:21" x14ac:dyDescent="0.35">
      <c r="B543" s="3" t="s">
        <v>15</v>
      </c>
      <c r="C543" s="14">
        <v>0.66358957726381773</v>
      </c>
      <c r="D543" s="14">
        <v>0.99999999999999978</v>
      </c>
      <c r="E543" s="14">
        <v>0.58638167268290942</v>
      </c>
      <c r="F543" s="14">
        <v>0.698468342018713</v>
      </c>
      <c r="G543" s="14">
        <v>0.8733149581301527</v>
      </c>
      <c r="H543" s="14">
        <v>0.38900857917610471</v>
      </c>
      <c r="I543" s="14">
        <v>0.71524077938556052</v>
      </c>
      <c r="J543" s="14">
        <v>0.80415177053043596</v>
      </c>
      <c r="K543" s="14">
        <v>6.6722272031550345E-2</v>
      </c>
      <c r="L543" s="14">
        <v>-0.10304512862257746</v>
      </c>
      <c r="M543" s="14">
        <v>0.46569868577119655</v>
      </c>
    </row>
    <row r="544" spans="2:21" x14ac:dyDescent="0.35">
      <c r="B544" s="3" t="s">
        <v>16</v>
      </c>
      <c r="C544" s="10">
        <v>0.97402516108996995</v>
      </c>
      <c r="D544" s="10">
        <v>0.58638167268290942</v>
      </c>
      <c r="E544" s="10">
        <v>1.0000000000000004</v>
      </c>
      <c r="F544" s="10">
        <v>0.94363479680756179</v>
      </c>
      <c r="G544" s="10">
        <v>0.69543678559464461</v>
      </c>
      <c r="H544" s="10">
        <v>0.2691496511185853</v>
      </c>
      <c r="I544" s="10">
        <v>0.8729637765925905</v>
      </c>
      <c r="J544" s="10">
        <v>0.89302774203564561</v>
      </c>
      <c r="K544" s="10">
        <v>0.52412484328726439</v>
      </c>
      <c r="L544" s="10">
        <v>0.22675764213133409</v>
      </c>
      <c r="M544" s="10">
        <v>0.90158373768113587</v>
      </c>
    </row>
    <row r="545" spans="2:13" x14ac:dyDescent="0.35">
      <c r="B545" s="3" t="s">
        <v>17</v>
      </c>
      <c r="C545" s="14">
        <v>0.97852461675231239</v>
      </c>
      <c r="D545" s="14">
        <v>0.698468342018713</v>
      </c>
      <c r="E545" s="14">
        <v>0.94363479680756179</v>
      </c>
      <c r="F545" s="14">
        <v>1.0000000000000002</v>
      </c>
      <c r="G545" s="14">
        <v>0.81353290791504251</v>
      </c>
      <c r="H545" s="14">
        <v>0.36574026420242978</v>
      </c>
      <c r="I545" s="14">
        <v>0.94340256180096871</v>
      </c>
      <c r="J545" s="14">
        <v>0.96983421310871942</v>
      </c>
      <c r="K545" s="14">
        <v>0.51144966275190651</v>
      </c>
      <c r="L545" s="14">
        <v>0.19468526072747053</v>
      </c>
      <c r="M545" s="14">
        <v>0.92616115369353968</v>
      </c>
    </row>
    <row r="546" spans="2:13" x14ac:dyDescent="0.35">
      <c r="B546" s="3" t="s">
        <v>18</v>
      </c>
      <c r="C546" s="10">
        <v>0.77275841180892713</v>
      </c>
      <c r="D546" s="10">
        <v>0.8733149581301527</v>
      </c>
      <c r="E546" s="10">
        <v>0.69543678559464461</v>
      </c>
      <c r="F546" s="10">
        <v>0.81353290791504251</v>
      </c>
      <c r="G546" s="10">
        <v>0.99999999999999933</v>
      </c>
      <c r="H546" s="10">
        <v>0.49652965813195232</v>
      </c>
      <c r="I546" s="10">
        <v>0.82719776036564796</v>
      </c>
      <c r="J546" s="10">
        <v>0.84146553073835351</v>
      </c>
      <c r="K546" s="10">
        <v>0.20223890831407942</v>
      </c>
      <c r="L546" s="10">
        <v>7.2641986188833926E-2</v>
      </c>
      <c r="M546" s="10">
        <v>0.64071448664936836</v>
      </c>
    </row>
    <row r="547" spans="2:13" x14ac:dyDescent="0.35">
      <c r="B547" s="3" t="s">
        <v>19</v>
      </c>
      <c r="C547" s="14">
        <v>0.30674181967746628</v>
      </c>
      <c r="D547" s="14">
        <v>0.38900857917610471</v>
      </c>
      <c r="E547" s="14">
        <v>0.2691496511185853</v>
      </c>
      <c r="F547" s="14">
        <v>0.36574026420242978</v>
      </c>
      <c r="G547" s="14">
        <v>0.49652965813195232</v>
      </c>
      <c r="H547" s="14">
        <v>1.0000000000000002</v>
      </c>
      <c r="I547" s="14">
        <v>0.39947554904041133</v>
      </c>
      <c r="J547" s="14">
        <v>0.4288394251606899</v>
      </c>
      <c r="K547" s="14">
        <v>0.48620410244802914</v>
      </c>
      <c r="L547" s="14">
        <v>0.39274517487864247</v>
      </c>
      <c r="M547" s="14">
        <v>0.27849646182314941</v>
      </c>
    </row>
    <row r="548" spans="2:13" x14ac:dyDescent="0.35">
      <c r="B548" s="3" t="s">
        <v>20</v>
      </c>
      <c r="C548" s="10">
        <v>0.93168355464686103</v>
      </c>
      <c r="D548" s="10">
        <v>0.71524077938556052</v>
      </c>
      <c r="E548" s="10">
        <v>0.8729637765925905</v>
      </c>
      <c r="F548" s="10">
        <v>0.94340256180096871</v>
      </c>
      <c r="G548" s="10">
        <v>0.82719776036564796</v>
      </c>
      <c r="H548" s="10">
        <v>0.39947554904041133</v>
      </c>
      <c r="I548" s="10">
        <v>0.99999999999999956</v>
      </c>
      <c r="J548" s="10">
        <v>0.9200503424474209</v>
      </c>
      <c r="K548" s="10">
        <v>0.45943817100928591</v>
      </c>
      <c r="L548" s="10">
        <v>0.16132275858394346</v>
      </c>
      <c r="M548" s="10">
        <v>0.84960068564232127</v>
      </c>
    </row>
    <row r="549" spans="2:13" x14ac:dyDescent="0.35">
      <c r="B549" s="3" t="s">
        <v>21</v>
      </c>
      <c r="C549" s="14">
        <v>0.94089787630389821</v>
      </c>
      <c r="D549" s="14">
        <v>0.80415177053043596</v>
      </c>
      <c r="E549" s="14">
        <v>0.89302774203564561</v>
      </c>
      <c r="F549" s="14">
        <v>0.96983421310871942</v>
      </c>
      <c r="G549" s="14">
        <v>0.84146553073835351</v>
      </c>
      <c r="H549" s="14">
        <v>0.4288394251606899</v>
      </c>
      <c r="I549" s="14">
        <v>0.9200503424474209</v>
      </c>
      <c r="J549" s="14">
        <v>1.0000000000000007</v>
      </c>
      <c r="K549" s="14">
        <v>0.48742312757994777</v>
      </c>
      <c r="L549" s="14">
        <v>0.16208153738145128</v>
      </c>
      <c r="M549" s="14">
        <v>0.85612096773777457</v>
      </c>
    </row>
    <row r="550" spans="2:13" x14ac:dyDescent="0.35">
      <c r="B550" s="3" t="s">
        <v>22</v>
      </c>
      <c r="C550" s="10">
        <v>0.50927709530245679</v>
      </c>
      <c r="D550" s="10">
        <v>6.6722272031550345E-2</v>
      </c>
      <c r="E550" s="10">
        <v>0.52412484328726439</v>
      </c>
      <c r="F550" s="10">
        <v>0.51144966275190651</v>
      </c>
      <c r="G550" s="10">
        <v>0.20223890831407942</v>
      </c>
      <c r="H550" s="10">
        <v>0.48620410244802914</v>
      </c>
      <c r="I550" s="10">
        <v>0.45943817100928591</v>
      </c>
      <c r="J550" s="10">
        <v>0.48742312757994777</v>
      </c>
      <c r="K550" s="10">
        <v>1</v>
      </c>
      <c r="L550" s="10">
        <v>0.50582989846769533</v>
      </c>
      <c r="M550" s="10">
        <v>0.55520533172523256</v>
      </c>
    </row>
    <row r="551" spans="2:13" x14ac:dyDescent="0.35">
      <c r="B551" s="3" t="s">
        <v>23</v>
      </c>
      <c r="C551" s="14">
        <v>0.19091244539531763</v>
      </c>
      <c r="D551" s="14">
        <v>-0.10304512862257746</v>
      </c>
      <c r="E551" s="14">
        <v>0.22675764213133409</v>
      </c>
      <c r="F551" s="14">
        <v>0.19468526072747053</v>
      </c>
      <c r="G551" s="14">
        <v>7.2641986188833926E-2</v>
      </c>
      <c r="H551" s="14">
        <v>0.39274517487864247</v>
      </c>
      <c r="I551" s="14">
        <v>0.16132275858394346</v>
      </c>
      <c r="J551" s="14">
        <v>0.16208153738145128</v>
      </c>
      <c r="K551" s="14">
        <v>0.50582989846769533</v>
      </c>
      <c r="L551" s="14">
        <v>1.0000000000000004</v>
      </c>
      <c r="M551" s="14">
        <v>0.2626926745212515</v>
      </c>
    </row>
    <row r="552" spans="2:13" x14ac:dyDescent="0.35">
      <c r="B552" s="3" t="s">
        <v>24</v>
      </c>
      <c r="C552" s="10">
        <v>0.91303942265036775</v>
      </c>
      <c r="D552" s="10">
        <v>0.46569868577119655</v>
      </c>
      <c r="E552" s="10">
        <v>0.90158373768113587</v>
      </c>
      <c r="F552" s="10">
        <v>0.92616115369353968</v>
      </c>
      <c r="G552" s="10">
        <v>0.64071448664936836</v>
      </c>
      <c r="H552" s="10">
        <v>0.27849646182314941</v>
      </c>
      <c r="I552" s="10">
        <v>0.84960068564232127</v>
      </c>
      <c r="J552" s="10">
        <v>0.85612096773777457</v>
      </c>
      <c r="K552" s="10">
        <v>0.55520533172523256</v>
      </c>
      <c r="L552" s="10">
        <v>0.2626926745212515</v>
      </c>
      <c r="M552" s="10">
        <v>1.0000000000000004</v>
      </c>
    </row>
    <row r="553" spans="2:13" ht="10" customHeight="1" x14ac:dyDescent="0.35"/>
    <row r="555" spans="2:13" x14ac:dyDescent="0.35">
      <c r="B555" s="1" t="s">
        <v>160</v>
      </c>
    </row>
    <row r="556" spans="2:13" ht="5" customHeight="1" x14ac:dyDescent="0.35"/>
    <row r="557" spans="2:13" x14ac:dyDescent="0.35">
      <c r="B557" s="4" t="s">
        <v>4</v>
      </c>
      <c r="C557" s="3" t="s">
        <v>14</v>
      </c>
      <c r="D557" s="3" t="s">
        <v>15</v>
      </c>
      <c r="E557" s="3" t="s">
        <v>16</v>
      </c>
      <c r="F557" s="3" t="s">
        <v>17</v>
      </c>
      <c r="G557" s="3" t="s">
        <v>18</v>
      </c>
      <c r="H557" s="3" t="s">
        <v>19</v>
      </c>
      <c r="I557" s="3" t="s">
        <v>20</v>
      </c>
      <c r="J557" s="3" t="s">
        <v>21</v>
      </c>
      <c r="K557" s="3" t="s">
        <v>22</v>
      </c>
      <c r="L557" s="3" t="s">
        <v>23</v>
      </c>
      <c r="M557" s="3" t="s">
        <v>24</v>
      </c>
    </row>
    <row r="558" spans="2:13" x14ac:dyDescent="0.35">
      <c r="B558" s="3" t="s">
        <v>14</v>
      </c>
      <c r="C558" s="10">
        <v>1</v>
      </c>
      <c r="D558" s="10">
        <v>0.75919196952850398</v>
      </c>
      <c r="E558" s="10">
        <v>0.94235255574640309</v>
      </c>
      <c r="F558" s="10">
        <v>0.96852770617496531</v>
      </c>
      <c r="G558" s="10">
        <v>0.84895006890461122</v>
      </c>
      <c r="H558" s="10">
        <v>0.36763899953087614</v>
      </c>
      <c r="I558" s="10">
        <v>0.9291523681224243</v>
      </c>
      <c r="J558" s="10">
        <v>0.93503667065725338</v>
      </c>
      <c r="K558" s="10">
        <v>0.36016367730989285</v>
      </c>
      <c r="L558" s="10">
        <v>0.28611415917517224</v>
      </c>
      <c r="M558" s="10">
        <v>0.86594946342635537</v>
      </c>
    </row>
    <row r="559" spans="2:13" x14ac:dyDescent="0.35">
      <c r="B559" s="3" t="s">
        <v>15</v>
      </c>
      <c r="C559" s="14">
        <v>0.75919196952850398</v>
      </c>
      <c r="D559" s="14">
        <v>1</v>
      </c>
      <c r="E559" s="14">
        <v>0.73820787215262451</v>
      </c>
      <c r="F559" s="14">
        <v>0.75871262059662803</v>
      </c>
      <c r="G559" s="14">
        <v>0.66503944846152563</v>
      </c>
      <c r="H559" s="14">
        <v>0.28799625141255814</v>
      </c>
      <c r="I559" s="14">
        <v>0.72786728108775012</v>
      </c>
      <c r="J559" s="14">
        <v>0.73247684937177504</v>
      </c>
      <c r="K559" s="14">
        <v>0.2821403308478429</v>
      </c>
      <c r="L559" s="14">
        <v>0.22413238373418334</v>
      </c>
      <c r="M559" s="14">
        <v>0.67835621274603497</v>
      </c>
    </row>
    <row r="560" spans="2:13" x14ac:dyDescent="0.35">
      <c r="B560" s="3" t="s">
        <v>16</v>
      </c>
      <c r="C560" s="10">
        <v>0.94235255574640309</v>
      </c>
      <c r="D560" s="10">
        <v>0.73820787215262451</v>
      </c>
      <c r="E560" s="10">
        <v>1</v>
      </c>
      <c r="F560" s="10">
        <v>0.94175756039716596</v>
      </c>
      <c r="G560" s="10">
        <v>0.82548505395691951</v>
      </c>
      <c r="H560" s="10">
        <v>0.35747744240835028</v>
      </c>
      <c r="I560" s="10">
        <v>0.90347055831374201</v>
      </c>
      <c r="J560" s="10">
        <v>0.90919221848361476</v>
      </c>
      <c r="K560" s="10">
        <v>0.35020873840212313</v>
      </c>
      <c r="L560" s="10">
        <v>0.27820595200528037</v>
      </c>
      <c r="M560" s="10">
        <v>0.84201458451237743</v>
      </c>
    </row>
    <row r="561" spans="2:13" x14ac:dyDescent="0.35">
      <c r="B561" s="3" t="s">
        <v>17</v>
      </c>
      <c r="C561" s="14">
        <v>0.96852770617496531</v>
      </c>
      <c r="D561" s="14">
        <v>0.75871262059662803</v>
      </c>
      <c r="E561" s="14">
        <v>0.94175756039716596</v>
      </c>
      <c r="F561" s="14">
        <v>1</v>
      </c>
      <c r="G561" s="14">
        <v>0.84841404728547032</v>
      </c>
      <c r="H561" s="14">
        <v>0.36740687462859284</v>
      </c>
      <c r="I561" s="14">
        <v>0.92856570728684384</v>
      </c>
      <c r="J561" s="14">
        <v>0.93444629451085814</v>
      </c>
      <c r="K561" s="14">
        <v>0.35993627227803215</v>
      </c>
      <c r="L561" s="14">
        <v>0.28593350853330574</v>
      </c>
      <c r="M561" s="14">
        <v>0.8654027084987318</v>
      </c>
    </row>
    <row r="562" spans="2:13" x14ac:dyDescent="0.35">
      <c r="B562" s="3" t="s">
        <v>18</v>
      </c>
      <c r="C562" s="10">
        <v>0.84895006890461133</v>
      </c>
      <c r="D562" s="10">
        <v>0.66503944846152574</v>
      </c>
      <c r="E562" s="10">
        <v>0.82548505395691951</v>
      </c>
      <c r="F562" s="10">
        <v>0.84841404728547032</v>
      </c>
      <c r="G562" s="10">
        <v>1</v>
      </c>
      <c r="H562" s="10">
        <v>0.36798580220666383</v>
      </c>
      <c r="I562" s="10">
        <v>0.85396660541037284</v>
      </c>
      <c r="J562" s="10">
        <v>0.85937475808077923</v>
      </c>
      <c r="K562" s="10">
        <v>0.36050342833514309</v>
      </c>
      <c r="L562" s="10">
        <v>0.28638405751596119</v>
      </c>
      <c r="M562" s="10">
        <v>0.79587799494442424</v>
      </c>
    </row>
    <row r="563" spans="2:13" x14ac:dyDescent="0.35">
      <c r="B563" s="3" t="s">
        <v>19</v>
      </c>
      <c r="C563" s="14">
        <v>0.36763899953087614</v>
      </c>
      <c r="D563" s="14">
        <v>0.28799625141255814</v>
      </c>
      <c r="E563" s="14">
        <v>0.35747744240835033</v>
      </c>
      <c r="F563" s="14">
        <v>0.36740687462859284</v>
      </c>
      <c r="G563" s="14">
        <v>0.36798580220666383</v>
      </c>
      <c r="H563" s="14">
        <v>1</v>
      </c>
      <c r="I563" s="14">
        <v>0.40275028188279649</v>
      </c>
      <c r="J563" s="14">
        <v>0.40530089100342437</v>
      </c>
      <c r="K563" s="14">
        <v>0.717616205060019</v>
      </c>
      <c r="L563" s="14">
        <v>0.57007458013197521</v>
      </c>
      <c r="M563" s="14">
        <v>0.37535435786057053</v>
      </c>
    </row>
    <row r="564" spans="2:13" x14ac:dyDescent="0.35">
      <c r="B564" s="3" t="s">
        <v>20</v>
      </c>
      <c r="C564" s="10">
        <v>0.92915236812242419</v>
      </c>
      <c r="D564" s="10">
        <v>0.72786728108775001</v>
      </c>
      <c r="E564" s="10">
        <v>0.90347055831374201</v>
      </c>
      <c r="F564" s="10">
        <v>0.92856570728684384</v>
      </c>
      <c r="G564" s="10">
        <v>0.85396660541037284</v>
      </c>
      <c r="H564" s="10">
        <v>0.40275028188279649</v>
      </c>
      <c r="I564" s="10">
        <v>1</v>
      </c>
      <c r="J564" s="10">
        <v>0.94056190207472667</v>
      </c>
      <c r="K564" s="10">
        <v>0.39456103064582887</v>
      </c>
      <c r="L564" s="10">
        <v>0.31343942945525866</v>
      </c>
      <c r="M564" s="10">
        <v>0.87106645116749315</v>
      </c>
    </row>
    <row r="565" spans="2:13" x14ac:dyDescent="0.35">
      <c r="B565" s="3" t="s">
        <v>21</v>
      </c>
      <c r="C565" s="14">
        <v>0.93503667065725338</v>
      </c>
      <c r="D565" s="14">
        <v>0.73247684937177504</v>
      </c>
      <c r="E565" s="14">
        <v>0.90919221848361487</v>
      </c>
      <c r="F565" s="14">
        <v>0.93444629451085814</v>
      </c>
      <c r="G565" s="14">
        <v>0.85937475808077923</v>
      </c>
      <c r="H565" s="14">
        <v>0.40530089100342442</v>
      </c>
      <c r="I565" s="14">
        <v>0.94056190207472667</v>
      </c>
      <c r="J565" s="14">
        <v>1</v>
      </c>
      <c r="K565" s="14">
        <v>0.39705977740946852</v>
      </c>
      <c r="L565" s="14">
        <v>0.31542443481340671</v>
      </c>
      <c r="M565" s="14">
        <v>0.87658289680381762</v>
      </c>
    </row>
    <row r="566" spans="2:13" x14ac:dyDescent="0.35">
      <c r="B566" s="3" t="s">
        <v>22</v>
      </c>
      <c r="C566" s="10">
        <v>0.36016367730989285</v>
      </c>
      <c r="D566" s="10">
        <v>0.2821403308478429</v>
      </c>
      <c r="E566" s="10">
        <v>0.35020873840212313</v>
      </c>
      <c r="F566" s="10">
        <v>0.3599362722780321</v>
      </c>
      <c r="G566" s="10">
        <v>0.36050342833514315</v>
      </c>
      <c r="H566" s="10">
        <v>0.717616205060019</v>
      </c>
      <c r="I566" s="10">
        <v>0.39456103064582887</v>
      </c>
      <c r="J566" s="10">
        <v>0.39705977740946852</v>
      </c>
      <c r="K566" s="10">
        <v>1</v>
      </c>
      <c r="L566" s="10">
        <v>0.55848307003126185</v>
      </c>
      <c r="M566" s="10">
        <v>0.36772215677298603</v>
      </c>
    </row>
    <row r="567" spans="2:13" x14ac:dyDescent="0.35">
      <c r="B567" s="3" t="s">
        <v>23</v>
      </c>
      <c r="C567" s="14">
        <v>0.2861141591751723</v>
      </c>
      <c r="D567" s="14">
        <v>0.22413238373418334</v>
      </c>
      <c r="E567" s="14">
        <v>0.27820595200528037</v>
      </c>
      <c r="F567" s="14">
        <v>0.28593350853330574</v>
      </c>
      <c r="G567" s="14">
        <v>0.28638405751596124</v>
      </c>
      <c r="H567" s="14">
        <v>0.57007458013197521</v>
      </c>
      <c r="I567" s="14">
        <v>0.31343942945525866</v>
      </c>
      <c r="J567" s="14">
        <v>0.31542443481340671</v>
      </c>
      <c r="K567" s="14">
        <v>0.55848307003126185</v>
      </c>
      <c r="L567" s="14">
        <v>1</v>
      </c>
      <c r="M567" s="14">
        <v>0.2921186180711341</v>
      </c>
    </row>
    <row r="568" spans="2:13" x14ac:dyDescent="0.35">
      <c r="B568" s="3" t="s">
        <v>24</v>
      </c>
      <c r="C568" s="10">
        <v>0.86594946342635537</v>
      </c>
      <c r="D568" s="10">
        <v>0.67835621274603497</v>
      </c>
      <c r="E568" s="10">
        <v>0.84201458451237743</v>
      </c>
      <c r="F568" s="10">
        <v>0.8654027084987318</v>
      </c>
      <c r="G568" s="10">
        <v>0.79587799494442424</v>
      </c>
      <c r="H568" s="10">
        <v>0.37535435786057053</v>
      </c>
      <c r="I568" s="10">
        <v>0.87106645116749315</v>
      </c>
      <c r="J568" s="10">
        <v>0.87658289680381762</v>
      </c>
      <c r="K568" s="10">
        <v>0.36772215677298598</v>
      </c>
      <c r="L568" s="10">
        <v>0.2921186180711341</v>
      </c>
      <c r="M568" s="10">
        <v>1</v>
      </c>
    </row>
    <row r="569" spans="2:13" ht="10" customHeight="1" x14ac:dyDescent="0.35"/>
    <row r="571" spans="2:13" x14ac:dyDescent="0.35">
      <c r="B571" s="1" t="s">
        <v>161</v>
      </c>
    </row>
    <row r="572" spans="2:13" ht="5" customHeight="1" x14ac:dyDescent="0.35"/>
    <row r="573" spans="2:13" x14ac:dyDescent="0.35">
      <c r="B573" s="4" t="s">
        <v>4</v>
      </c>
      <c r="C573" s="3" t="s">
        <v>14</v>
      </c>
      <c r="D573" s="3" t="s">
        <v>15</v>
      </c>
      <c r="E573" s="3" t="s">
        <v>16</v>
      </c>
      <c r="F573" s="3" t="s">
        <v>17</v>
      </c>
      <c r="G573" s="3" t="s">
        <v>18</v>
      </c>
      <c r="H573" s="3" t="s">
        <v>19</v>
      </c>
      <c r="I573" s="3" t="s">
        <v>20</v>
      </c>
      <c r="J573" s="3" t="s">
        <v>21</v>
      </c>
      <c r="K573" s="3" t="s">
        <v>22</v>
      </c>
      <c r="L573" s="3" t="s">
        <v>23</v>
      </c>
      <c r="M573" s="3" t="s">
        <v>24</v>
      </c>
    </row>
    <row r="574" spans="2:13" x14ac:dyDescent="0.35">
      <c r="B574" s="3" t="s">
        <v>14</v>
      </c>
      <c r="C574" s="10">
        <v>1</v>
      </c>
      <c r="D574" s="10">
        <v>0.75919196952850432</v>
      </c>
      <c r="E574" s="10">
        <v>0.94235255574640353</v>
      </c>
      <c r="F574" s="10">
        <v>0.96852770617496575</v>
      </c>
      <c r="G574" s="10">
        <v>0.84895006890461144</v>
      </c>
      <c r="H574" s="10">
        <v>0.36763899953087653</v>
      </c>
      <c r="I574" s="10">
        <v>0.92915236812242452</v>
      </c>
      <c r="J574" s="10">
        <v>0.9350366706572536</v>
      </c>
      <c r="K574" s="10">
        <v>0.36016367730989324</v>
      </c>
      <c r="L574" s="10">
        <v>0.28611415917517258</v>
      </c>
      <c r="M574" s="10">
        <v>0.86594946342635559</v>
      </c>
    </row>
    <row r="575" spans="2:13" x14ac:dyDescent="0.35">
      <c r="B575" s="3" t="s">
        <v>15</v>
      </c>
      <c r="C575" s="14">
        <v>0.75919196952850432</v>
      </c>
      <c r="D575" s="14">
        <v>1</v>
      </c>
      <c r="E575" s="14">
        <v>0.73820787215262484</v>
      </c>
      <c r="F575" s="14">
        <v>0.75871262059662836</v>
      </c>
      <c r="G575" s="14">
        <v>0.66503944846152585</v>
      </c>
      <c r="H575" s="14">
        <v>0.28799625141255841</v>
      </c>
      <c r="I575" s="14">
        <v>0.72786728108775023</v>
      </c>
      <c r="J575" s="14">
        <v>0.73247684937177526</v>
      </c>
      <c r="K575" s="14">
        <v>0.28214033084784323</v>
      </c>
      <c r="L575" s="14">
        <v>0.22413238373418362</v>
      </c>
      <c r="M575" s="14">
        <v>0.67835621274603508</v>
      </c>
    </row>
    <row r="576" spans="2:13" x14ac:dyDescent="0.35">
      <c r="B576" s="3" t="s">
        <v>16</v>
      </c>
      <c r="C576" s="10">
        <v>0.94235255574640353</v>
      </c>
      <c r="D576" s="10">
        <v>0.73820787215262484</v>
      </c>
      <c r="E576" s="10">
        <v>1</v>
      </c>
      <c r="F576" s="10">
        <v>0.9417575603971664</v>
      </c>
      <c r="G576" s="10">
        <v>0.82548505395691962</v>
      </c>
      <c r="H576" s="10">
        <v>0.35747744240835067</v>
      </c>
      <c r="I576" s="10">
        <v>0.90347055831374223</v>
      </c>
      <c r="J576" s="10">
        <v>0.90919221848361498</v>
      </c>
      <c r="K576" s="10">
        <v>0.35020873840212352</v>
      </c>
      <c r="L576" s="10">
        <v>0.27820595200528064</v>
      </c>
      <c r="M576" s="10">
        <v>0.84201458451237765</v>
      </c>
    </row>
    <row r="577" spans="2:13" x14ac:dyDescent="0.35">
      <c r="B577" s="3" t="s">
        <v>17</v>
      </c>
      <c r="C577" s="14">
        <v>0.96852770617496575</v>
      </c>
      <c r="D577" s="14">
        <v>0.75871262059662836</v>
      </c>
      <c r="E577" s="14">
        <v>0.9417575603971664</v>
      </c>
      <c r="F577" s="14">
        <v>1</v>
      </c>
      <c r="G577" s="14">
        <v>0.84841404728547054</v>
      </c>
      <c r="H577" s="14">
        <v>0.36740687462859323</v>
      </c>
      <c r="I577" s="14">
        <v>0.92856570728684407</v>
      </c>
      <c r="J577" s="14">
        <v>0.93444629451085837</v>
      </c>
      <c r="K577" s="14">
        <v>0.35993627227803254</v>
      </c>
      <c r="L577" s="14">
        <v>0.28593350853330607</v>
      </c>
      <c r="M577" s="14">
        <v>0.86540270849873202</v>
      </c>
    </row>
    <row r="578" spans="2:13" x14ac:dyDescent="0.35">
      <c r="B578" s="3" t="s">
        <v>18</v>
      </c>
      <c r="C578" s="10">
        <v>0.84895006890461144</v>
      </c>
      <c r="D578" s="10">
        <v>0.66503944846152585</v>
      </c>
      <c r="E578" s="10">
        <v>0.82548505395691973</v>
      </c>
      <c r="F578" s="10">
        <v>0.84841404728547054</v>
      </c>
      <c r="G578" s="10">
        <v>1</v>
      </c>
      <c r="H578" s="10">
        <v>0.36798580220666377</v>
      </c>
      <c r="I578" s="10">
        <v>0.85396660541037284</v>
      </c>
      <c r="J578" s="10">
        <v>0.85937475808077923</v>
      </c>
      <c r="K578" s="10">
        <v>0.36050342833514304</v>
      </c>
      <c r="L578" s="10">
        <v>0.28638405751596119</v>
      </c>
      <c r="M578" s="10">
        <v>0.79587799494442424</v>
      </c>
    </row>
    <row r="579" spans="2:13" x14ac:dyDescent="0.35">
      <c r="B579" s="3" t="s">
        <v>19</v>
      </c>
      <c r="C579" s="14">
        <v>0.36763899953087653</v>
      </c>
      <c r="D579" s="14">
        <v>0.28799625141255841</v>
      </c>
      <c r="E579" s="14">
        <v>0.35747744240835067</v>
      </c>
      <c r="F579" s="14">
        <v>0.36740687462859323</v>
      </c>
      <c r="G579" s="14">
        <v>0.36798580220666377</v>
      </c>
      <c r="H579" s="14">
        <v>1</v>
      </c>
      <c r="I579" s="14">
        <v>0.40275028188279643</v>
      </c>
      <c r="J579" s="14">
        <v>0.40530089100342437</v>
      </c>
      <c r="K579" s="14">
        <v>0.71761620506001833</v>
      </c>
      <c r="L579" s="14">
        <v>0.57007458013197454</v>
      </c>
      <c r="M579" s="14">
        <v>0.37535435786057048</v>
      </c>
    </row>
    <row r="580" spans="2:13" x14ac:dyDescent="0.35">
      <c r="B580" s="3" t="s">
        <v>20</v>
      </c>
      <c r="C580" s="10">
        <v>0.92915236812242441</v>
      </c>
      <c r="D580" s="10">
        <v>0.72786728108775023</v>
      </c>
      <c r="E580" s="10">
        <v>0.90347055831374223</v>
      </c>
      <c r="F580" s="10">
        <v>0.92856570728684407</v>
      </c>
      <c r="G580" s="10">
        <v>0.85396660541037284</v>
      </c>
      <c r="H580" s="10">
        <v>0.40275028188279643</v>
      </c>
      <c r="I580" s="10">
        <v>1</v>
      </c>
      <c r="J580" s="10">
        <v>0.94056190207472667</v>
      </c>
      <c r="K580" s="10">
        <v>0.39456103064582881</v>
      </c>
      <c r="L580" s="10">
        <v>0.31343942945525866</v>
      </c>
      <c r="M580" s="10">
        <v>0.87106645116749315</v>
      </c>
    </row>
    <row r="581" spans="2:13" x14ac:dyDescent="0.35">
      <c r="B581" s="3" t="s">
        <v>21</v>
      </c>
      <c r="C581" s="14">
        <v>0.9350366706572536</v>
      </c>
      <c r="D581" s="14">
        <v>0.73247684937177526</v>
      </c>
      <c r="E581" s="14">
        <v>0.90919221848361498</v>
      </c>
      <c r="F581" s="14">
        <v>0.93444629451085837</v>
      </c>
      <c r="G581" s="14">
        <v>0.85937475808077923</v>
      </c>
      <c r="H581" s="14">
        <v>0.40530089100342437</v>
      </c>
      <c r="I581" s="14">
        <v>0.94056190207472667</v>
      </c>
      <c r="J581" s="14">
        <v>1</v>
      </c>
      <c r="K581" s="14">
        <v>0.39705977740946846</v>
      </c>
      <c r="L581" s="14">
        <v>0.31542443481340671</v>
      </c>
      <c r="M581" s="14">
        <v>0.87658289680381762</v>
      </c>
    </row>
    <row r="582" spans="2:13" x14ac:dyDescent="0.35">
      <c r="B582" s="3" t="s">
        <v>22</v>
      </c>
      <c r="C582" s="10">
        <v>0.36016367730989324</v>
      </c>
      <c r="D582" s="10">
        <v>0.28214033084784318</v>
      </c>
      <c r="E582" s="10">
        <v>0.35020873840212352</v>
      </c>
      <c r="F582" s="10">
        <v>0.35993627227803249</v>
      </c>
      <c r="G582" s="10">
        <v>0.36050342833514309</v>
      </c>
      <c r="H582" s="10">
        <v>0.71761620506001822</v>
      </c>
      <c r="I582" s="10">
        <v>0.39456103064582881</v>
      </c>
      <c r="J582" s="10">
        <v>0.39705977740946852</v>
      </c>
      <c r="K582" s="10">
        <v>1</v>
      </c>
      <c r="L582" s="10">
        <v>0.55848307003126119</v>
      </c>
      <c r="M582" s="10">
        <v>0.36772215677298598</v>
      </c>
    </row>
    <row r="583" spans="2:13" x14ac:dyDescent="0.35">
      <c r="B583" s="3" t="s">
        <v>23</v>
      </c>
      <c r="C583" s="14">
        <v>0.28611415917517258</v>
      </c>
      <c r="D583" s="14">
        <v>0.22413238373418357</v>
      </c>
      <c r="E583" s="14">
        <v>0.27820595200528064</v>
      </c>
      <c r="F583" s="14">
        <v>0.28593350853330607</v>
      </c>
      <c r="G583" s="14">
        <v>0.28638405751596119</v>
      </c>
      <c r="H583" s="14">
        <v>0.57007458013197454</v>
      </c>
      <c r="I583" s="14">
        <v>0.3134394294552586</v>
      </c>
      <c r="J583" s="14">
        <v>0.31542443481340671</v>
      </c>
      <c r="K583" s="14">
        <v>0.5584830700312613</v>
      </c>
      <c r="L583" s="14">
        <v>1</v>
      </c>
      <c r="M583" s="14">
        <v>0.29211861807113404</v>
      </c>
    </row>
    <row r="584" spans="2:13" x14ac:dyDescent="0.35">
      <c r="B584" s="3" t="s">
        <v>24</v>
      </c>
      <c r="C584" s="10">
        <v>0.86594946342635559</v>
      </c>
      <c r="D584" s="10">
        <v>0.67835621274603508</v>
      </c>
      <c r="E584" s="10">
        <v>0.84201458451237765</v>
      </c>
      <c r="F584" s="10">
        <v>0.86540270849873191</v>
      </c>
      <c r="G584" s="10">
        <v>0.79587799494442424</v>
      </c>
      <c r="H584" s="10">
        <v>0.37535435786057048</v>
      </c>
      <c r="I584" s="10">
        <v>0.87106645116749315</v>
      </c>
      <c r="J584" s="10">
        <v>0.87658289680381762</v>
      </c>
      <c r="K584" s="10">
        <v>0.36772215677298592</v>
      </c>
      <c r="L584" s="10">
        <v>0.2921186180711341</v>
      </c>
      <c r="M584" s="10">
        <v>1</v>
      </c>
    </row>
    <row r="585" spans="2:13" ht="10" customHeight="1" x14ac:dyDescent="0.35"/>
    <row r="587" spans="2:13" x14ac:dyDescent="0.35">
      <c r="B587" s="1" t="s">
        <v>162</v>
      </c>
    </row>
    <row r="588" spans="2:13" ht="5" customHeight="1" x14ac:dyDescent="0.35"/>
    <row r="589" spans="2:13" x14ac:dyDescent="0.35">
      <c r="B589" s="4" t="s">
        <v>4</v>
      </c>
      <c r="C589" s="3" t="s">
        <v>14</v>
      </c>
      <c r="D589" s="3" t="s">
        <v>15</v>
      </c>
      <c r="E589" s="3" t="s">
        <v>16</v>
      </c>
      <c r="F589" s="3" t="s">
        <v>17</v>
      </c>
      <c r="G589" s="3" t="s">
        <v>18</v>
      </c>
      <c r="H589" s="3" t="s">
        <v>19</v>
      </c>
      <c r="I589" s="3" t="s">
        <v>20</v>
      </c>
      <c r="J589" s="3" t="s">
        <v>21</v>
      </c>
      <c r="K589" s="3" t="s">
        <v>22</v>
      </c>
      <c r="L589" s="3" t="s">
        <v>23</v>
      </c>
      <c r="M589" s="3" t="s">
        <v>24</v>
      </c>
    </row>
    <row r="590" spans="2:13" x14ac:dyDescent="0.35">
      <c r="B590" s="3" t="s">
        <v>14</v>
      </c>
      <c r="C590" s="10">
        <v>11484278.604440486</v>
      </c>
      <c r="D590" s="10">
        <v>10703406.516188409</v>
      </c>
      <c r="E590" s="10">
        <v>4737109.9934198968</v>
      </c>
      <c r="F590" s="10">
        <v>11056470.981978895</v>
      </c>
      <c r="G590" s="10">
        <v>381326.2563122838</v>
      </c>
      <c r="H590" s="10">
        <v>2589.373818512111</v>
      </c>
      <c r="I590" s="10">
        <v>2996017.4590015579</v>
      </c>
      <c r="J590" s="10">
        <v>22627662.590582699</v>
      </c>
      <c r="K590" s="10">
        <v>3790095.4518581312</v>
      </c>
      <c r="L590" s="10">
        <v>461.11387923875481</v>
      </c>
      <c r="M590" s="10">
        <v>254445.68866384079</v>
      </c>
    </row>
    <row r="591" spans="2:13" x14ac:dyDescent="0.35">
      <c r="B591" s="3" t="s">
        <v>15</v>
      </c>
      <c r="C591" s="14">
        <v>10703406.516188409</v>
      </c>
      <c r="D591" s="14">
        <v>22653807.643755104</v>
      </c>
      <c r="E591" s="14">
        <v>4005368.0165089965</v>
      </c>
      <c r="F591" s="14">
        <v>11084350.384536162</v>
      </c>
      <c r="G591" s="14">
        <v>605260.88943148765</v>
      </c>
      <c r="H591" s="14">
        <v>4612.1103166955036</v>
      </c>
      <c r="I591" s="14">
        <v>3230330.23461064</v>
      </c>
      <c r="J591" s="14">
        <v>27161513.914639618</v>
      </c>
      <c r="K591" s="14">
        <v>697405.83110899583</v>
      </c>
      <c r="L591" s="14">
        <v>-349.55873892733604</v>
      </c>
      <c r="M591" s="14">
        <v>182275.93037595158</v>
      </c>
    </row>
    <row r="592" spans="2:13" x14ac:dyDescent="0.35">
      <c r="B592" s="3" t="s">
        <v>16</v>
      </c>
      <c r="C592" s="10">
        <v>4737109.9934198968</v>
      </c>
      <c r="D592" s="10">
        <v>4005368.0165089965</v>
      </c>
      <c r="E592" s="10">
        <v>2059599.9216228372</v>
      </c>
      <c r="F592" s="10">
        <v>4515317.5183200706</v>
      </c>
      <c r="G592" s="10">
        <v>145328.30262110732</v>
      </c>
      <c r="H592" s="10">
        <v>962.17741262975778</v>
      </c>
      <c r="I592" s="10">
        <v>1188807.9663339106</v>
      </c>
      <c r="J592" s="10">
        <v>9094979.6118415203</v>
      </c>
      <c r="K592" s="10">
        <v>1651848.914740484</v>
      </c>
      <c r="L592" s="10">
        <v>231.93989688581325</v>
      </c>
      <c r="M592" s="10">
        <v>106402.34754913492</v>
      </c>
    </row>
    <row r="593" spans="2:13" x14ac:dyDescent="0.35">
      <c r="B593" s="3" t="s">
        <v>17</v>
      </c>
      <c r="C593" s="14">
        <v>11056470.981978895</v>
      </c>
      <c r="D593" s="14">
        <v>11084350.384536162</v>
      </c>
      <c r="E593" s="14">
        <v>4515317.5183200706</v>
      </c>
      <c r="F593" s="14">
        <v>11116954.540235646</v>
      </c>
      <c r="G593" s="14">
        <v>394974.58240847761</v>
      </c>
      <c r="H593" s="14">
        <v>3037.6350278546706</v>
      </c>
      <c r="I593" s="14">
        <v>2984791.6172754331</v>
      </c>
      <c r="J593" s="14">
        <v>22947520.243872322</v>
      </c>
      <c r="K593" s="14">
        <v>3744897.6690553636</v>
      </c>
      <c r="L593" s="14">
        <v>462.64522266435989</v>
      </c>
      <c r="M593" s="14">
        <v>253941.20916038068</v>
      </c>
    </row>
    <row r="594" spans="2:13" x14ac:dyDescent="0.35">
      <c r="B594" s="3" t="s">
        <v>18</v>
      </c>
      <c r="C594" s="10">
        <v>381326.2563122838</v>
      </c>
      <c r="D594" s="10">
        <v>605260.88943148765</v>
      </c>
      <c r="E594" s="10">
        <v>145328.30262110732</v>
      </c>
      <c r="F594" s="10">
        <v>394974.58240847761</v>
      </c>
      <c r="G594" s="10">
        <v>21203.239417993082</v>
      </c>
      <c r="H594" s="10">
        <v>180.10103391003463</v>
      </c>
      <c r="I594" s="10">
        <v>114296.91507456751</v>
      </c>
      <c r="J594" s="10">
        <v>869526.42570415232</v>
      </c>
      <c r="K594" s="10">
        <v>64671.057768166065</v>
      </c>
      <c r="L594" s="10">
        <v>7.538950865051909</v>
      </c>
      <c r="M594" s="10">
        <v>7672.1901719723182</v>
      </c>
    </row>
    <row r="595" spans="2:13" x14ac:dyDescent="0.35">
      <c r="B595" s="3" t="s">
        <v>19</v>
      </c>
      <c r="C595" s="14">
        <v>2589.373818512111</v>
      </c>
      <c r="D595" s="14">
        <v>4612.1103166955036</v>
      </c>
      <c r="E595" s="14">
        <v>962.17741262975778</v>
      </c>
      <c r="F595" s="14">
        <v>3037.6350278546706</v>
      </c>
      <c r="G595" s="14">
        <v>180.10103391003463</v>
      </c>
      <c r="H595" s="14">
        <v>6.2049717128027675</v>
      </c>
      <c r="I595" s="14">
        <v>944.24382967128031</v>
      </c>
      <c r="J595" s="14">
        <v>7580.7112422145319</v>
      </c>
      <c r="K595" s="14">
        <v>2659.7000743944623</v>
      </c>
      <c r="L595" s="14">
        <v>0.69727301038062195</v>
      </c>
      <c r="M595" s="14">
        <v>57.048376816608986</v>
      </c>
    </row>
    <row r="596" spans="2:13" x14ac:dyDescent="0.35">
      <c r="B596" s="3" t="s">
        <v>20</v>
      </c>
      <c r="C596" s="10">
        <v>2996017.4590015579</v>
      </c>
      <c r="D596" s="10">
        <v>3230330.23461064</v>
      </c>
      <c r="E596" s="10">
        <v>1188807.9663339106</v>
      </c>
      <c r="F596" s="10">
        <v>2984791.6172754331</v>
      </c>
      <c r="G596" s="10">
        <v>114296.91507456751</v>
      </c>
      <c r="H596" s="10">
        <v>944.24382967128031</v>
      </c>
      <c r="I596" s="10">
        <v>900426.15258105553</v>
      </c>
      <c r="J596" s="10">
        <v>6195565.9966918668</v>
      </c>
      <c r="K596" s="10">
        <v>957404.06715743954</v>
      </c>
      <c r="L596" s="10">
        <v>109.10427906574392</v>
      </c>
      <c r="M596" s="10">
        <v>66296.80687179933</v>
      </c>
    </row>
    <row r="597" spans="2:13" x14ac:dyDescent="0.35">
      <c r="B597" s="3" t="s">
        <v>21</v>
      </c>
      <c r="C597" s="14">
        <v>22627662.590582699</v>
      </c>
      <c r="D597" s="14">
        <v>27161513.914639618</v>
      </c>
      <c r="E597" s="14">
        <v>9094979.6118415203</v>
      </c>
      <c r="F597" s="14">
        <v>22947520.243872322</v>
      </c>
      <c r="G597" s="14">
        <v>869526.42570415232</v>
      </c>
      <c r="H597" s="14">
        <v>7580.7112422145319</v>
      </c>
      <c r="I597" s="14">
        <v>6195565.9966918668</v>
      </c>
      <c r="J597" s="14">
        <v>50360576.383773357</v>
      </c>
      <c r="K597" s="14">
        <v>7596186.5457474049</v>
      </c>
      <c r="L597" s="14">
        <v>819.78692508650397</v>
      </c>
      <c r="M597" s="14">
        <v>499613.52519896207</v>
      </c>
    </row>
    <row r="598" spans="2:13" x14ac:dyDescent="0.35">
      <c r="B598" s="3" t="s">
        <v>22</v>
      </c>
      <c r="C598" s="10">
        <v>3790095.4518581312</v>
      </c>
      <c r="D598" s="10">
        <v>697405.83110899583</v>
      </c>
      <c r="E598" s="10">
        <v>1651848.914740484</v>
      </c>
      <c r="F598" s="10">
        <v>3744897.6690553636</v>
      </c>
      <c r="G598" s="10">
        <v>64671.057768166065</v>
      </c>
      <c r="H598" s="10">
        <v>2659.7000743944623</v>
      </c>
      <c r="I598" s="10">
        <v>957404.06715743954</v>
      </c>
      <c r="J598" s="10">
        <v>7596186.5457474049</v>
      </c>
      <c r="K598" s="10">
        <v>4822678.2329757782</v>
      </c>
      <c r="L598" s="10">
        <v>791.71839100346062</v>
      </c>
      <c r="M598" s="10">
        <v>100265.48954325255</v>
      </c>
    </row>
    <row r="599" spans="2:13" x14ac:dyDescent="0.35">
      <c r="B599" s="3" t="s">
        <v>23</v>
      </c>
      <c r="C599" s="14">
        <v>461.11387923875481</v>
      </c>
      <c r="D599" s="14">
        <v>-349.55873892733604</v>
      </c>
      <c r="E599" s="14">
        <v>231.93989688581325</v>
      </c>
      <c r="F599" s="14">
        <v>462.64522266435989</v>
      </c>
      <c r="G599" s="14">
        <v>7.538950865051909</v>
      </c>
      <c r="H599" s="14">
        <v>0.69727301038062195</v>
      </c>
      <c r="I599" s="14">
        <v>109.10427906574392</v>
      </c>
      <c r="J599" s="14">
        <v>819.78692508650397</v>
      </c>
      <c r="K599" s="14">
        <v>791.71839100346062</v>
      </c>
      <c r="L599" s="14">
        <v>0.50797716262975778</v>
      </c>
      <c r="M599" s="14">
        <v>15.396562283737026</v>
      </c>
    </row>
    <row r="600" spans="2:13" x14ac:dyDescent="0.35">
      <c r="B600" s="3" t="s">
        <v>24</v>
      </c>
      <c r="C600" s="10">
        <v>254445.68866384079</v>
      </c>
      <c r="D600" s="10">
        <v>182275.93037595158</v>
      </c>
      <c r="E600" s="10">
        <v>106402.34754913492</v>
      </c>
      <c r="F600" s="10">
        <v>253941.20916038068</v>
      </c>
      <c r="G600" s="10">
        <v>7672.1901719723182</v>
      </c>
      <c r="H600" s="10">
        <v>57.048376816608986</v>
      </c>
      <c r="I600" s="10">
        <v>66296.80687179933</v>
      </c>
      <c r="J600" s="10">
        <v>499613.52519896207</v>
      </c>
      <c r="K600" s="10">
        <v>100265.48954325255</v>
      </c>
      <c r="L600" s="10">
        <v>15.396562283737026</v>
      </c>
      <c r="M600" s="10">
        <v>6762.5021173010373</v>
      </c>
    </row>
    <row r="601" spans="2:13" ht="10" customHeight="1" x14ac:dyDescent="0.35"/>
  </sheetData>
  <mergeCells count="28">
    <mergeCell ref="B442:U442"/>
    <mergeCell ref="B497:U497"/>
    <mergeCell ref="B536:U536"/>
    <mergeCell ref="B380:U380"/>
    <mergeCell ref="B395:U395"/>
    <mergeCell ref="B397:U397"/>
    <mergeCell ref="B418:U418"/>
    <mergeCell ref="B426:U426"/>
    <mergeCell ref="B291:U291"/>
    <mergeCell ref="B326:U326"/>
    <mergeCell ref="B353:U353"/>
    <mergeCell ref="B371:U371"/>
    <mergeCell ref="B378:U378"/>
    <mergeCell ref="B139:U139"/>
    <mergeCell ref="B266:U266"/>
    <mergeCell ref="B268:U268"/>
    <mergeCell ref="B275:U275"/>
    <mergeCell ref="B283:U283"/>
    <mergeCell ref="B16:U16"/>
    <mergeCell ref="B33:U33"/>
    <mergeCell ref="B41:U41"/>
    <mergeCell ref="B57:U57"/>
    <mergeCell ref="B73:U73"/>
    <mergeCell ref="B1:U1"/>
    <mergeCell ref="B2:U2"/>
    <mergeCell ref="B3:U3"/>
    <mergeCell ref="B6:U6"/>
    <mergeCell ref="B8:U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193"/>
  <sheetViews>
    <sheetView showGridLines="0" workbookViewId="0"/>
  </sheetViews>
  <sheetFormatPr defaultRowHeight="14.5" x14ac:dyDescent="0.35"/>
  <sheetData>
    <row r="1" spans="2:21" ht="50" customHeight="1" x14ac:dyDescent="0.35">
      <c r="B1" s="15" t="s">
        <v>0</v>
      </c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</row>
    <row r="2" spans="2:21" x14ac:dyDescent="0.35">
      <c r="B2" s="17" t="s">
        <v>1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</row>
    <row r="3" spans="2:21" x14ac:dyDescent="0.35">
      <c r="B3" s="18" t="str">
        <f>HYPERLINK("#'Navigation'!A1", "back to navigation")</f>
        <v>back to navigation</v>
      </c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</row>
    <row r="5" spans="2:21" ht="20" customHeight="1" x14ac:dyDescent="0.35"/>
    <row r="6" spans="2:21" ht="20" customHeight="1" x14ac:dyDescent="0.35">
      <c r="B6" t="s">
        <v>156</v>
      </c>
    </row>
    <row r="7" spans="2:21" ht="20" customHeight="1" x14ac:dyDescent="0.35">
      <c r="B7" t="s">
        <v>156</v>
      </c>
    </row>
    <row r="8" spans="2:21" ht="20" customHeight="1" x14ac:dyDescent="0.35">
      <c r="B8" t="s">
        <v>156</v>
      </c>
    </row>
    <row r="9" spans="2:21" ht="20" customHeight="1" x14ac:dyDescent="0.35">
      <c r="B9" t="s">
        <v>156</v>
      </c>
    </row>
    <row r="10" spans="2:21" ht="20" customHeight="1" x14ac:dyDescent="0.35">
      <c r="B10" t="s">
        <v>156</v>
      </c>
    </row>
    <row r="11" spans="2:21" ht="20" customHeight="1" x14ac:dyDescent="0.35">
      <c r="B11" t="s">
        <v>156</v>
      </c>
    </row>
    <row r="12" spans="2:21" ht="20" customHeight="1" x14ac:dyDescent="0.35">
      <c r="B12" t="s">
        <v>156</v>
      </c>
    </row>
    <row r="13" spans="2:21" ht="20" customHeight="1" x14ac:dyDescent="0.35">
      <c r="B13" t="s">
        <v>156</v>
      </c>
    </row>
    <row r="14" spans="2:21" ht="20" customHeight="1" x14ac:dyDescent="0.35">
      <c r="B14" t="s">
        <v>156</v>
      </c>
    </row>
    <row r="15" spans="2:21" ht="20" customHeight="1" x14ac:dyDescent="0.35">
      <c r="B15" t="s">
        <v>156</v>
      </c>
    </row>
    <row r="16" spans="2:21" ht="20" customHeight="1" x14ac:dyDescent="0.35">
      <c r="B16" t="s">
        <v>156</v>
      </c>
    </row>
    <row r="17" spans="2:2" ht="20" customHeight="1" x14ac:dyDescent="0.35">
      <c r="B17" t="s">
        <v>156</v>
      </c>
    </row>
    <row r="18" spans="2:2" ht="20" customHeight="1" x14ac:dyDescent="0.35">
      <c r="B18" t="s">
        <v>156</v>
      </c>
    </row>
    <row r="19" spans="2:2" ht="20" customHeight="1" x14ac:dyDescent="0.35">
      <c r="B19" t="s">
        <v>156</v>
      </c>
    </row>
    <row r="20" spans="2:2" ht="20" customHeight="1" x14ac:dyDescent="0.35">
      <c r="B20" t="s">
        <v>156</v>
      </c>
    </row>
    <row r="21" spans="2:2" ht="20" customHeight="1" x14ac:dyDescent="0.35">
      <c r="B21" t="s">
        <v>156</v>
      </c>
    </row>
    <row r="22" spans="2:2" ht="20" customHeight="1" x14ac:dyDescent="0.35">
      <c r="B22" t="s">
        <v>156</v>
      </c>
    </row>
    <row r="23" spans="2:2" ht="20" customHeight="1" x14ac:dyDescent="0.35">
      <c r="B23" t="s">
        <v>156</v>
      </c>
    </row>
    <row r="24" spans="2:2" ht="20" customHeight="1" x14ac:dyDescent="0.35">
      <c r="B24" t="s">
        <v>156</v>
      </c>
    </row>
    <row r="25" spans="2:2" ht="20" customHeight="1" x14ac:dyDescent="0.35">
      <c r="B25" t="s">
        <v>156</v>
      </c>
    </row>
    <row r="26" spans="2:2" ht="20" customHeight="1" x14ac:dyDescent="0.35"/>
    <row r="27" spans="2:2" ht="20" customHeight="1" x14ac:dyDescent="0.35">
      <c r="B27" t="s">
        <v>156</v>
      </c>
    </row>
    <row r="28" spans="2:2" ht="20" customHeight="1" x14ac:dyDescent="0.35">
      <c r="B28" t="s">
        <v>156</v>
      </c>
    </row>
    <row r="29" spans="2:2" ht="20" customHeight="1" x14ac:dyDescent="0.35">
      <c r="B29" t="s">
        <v>156</v>
      </c>
    </row>
    <row r="30" spans="2:2" ht="20" customHeight="1" x14ac:dyDescent="0.35">
      <c r="B30" t="s">
        <v>156</v>
      </c>
    </row>
    <row r="31" spans="2:2" ht="20" customHeight="1" x14ac:dyDescent="0.35">
      <c r="B31" t="s">
        <v>156</v>
      </c>
    </row>
    <row r="32" spans="2:2" ht="20" customHeight="1" x14ac:dyDescent="0.35">
      <c r="B32" t="s">
        <v>156</v>
      </c>
    </row>
    <row r="33" spans="2:2" ht="20" customHeight="1" x14ac:dyDescent="0.35">
      <c r="B33" t="s">
        <v>156</v>
      </c>
    </row>
    <row r="34" spans="2:2" ht="20" customHeight="1" x14ac:dyDescent="0.35">
      <c r="B34" t="s">
        <v>156</v>
      </c>
    </row>
    <row r="35" spans="2:2" ht="20" customHeight="1" x14ac:dyDescent="0.35">
      <c r="B35" t="s">
        <v>156</v>
      </c>
    </row>
    <row r="36" spans="2:2" ht="20" customHeight="1" x14ac:dyDescent="0.35">
      <c r="B36" t="s">
        <v>156</v>
      </c>
    </row>
    <row r="37" spans="2:2" ht="20" customHeight="1" x14ac:dyDescent="0.35">
      <c r="B37" t="s">
        <v>156</v>
      </c>
    </row>
    <row r="38" spans="2:2" ht="20" customHeight="1" x14ac:dyDescent="0.35">
      <c r="B38" t="s">
        <v>156</v>
      </c>
    </row>
    <row r="39" spans="2:2" ht="20" customHeight="1" x14ac:dyDescent="0.35">
      <c r="B39" t="s">
        <v>156</v>
      </c>
    </row>
    <row r="40" spans="2:2" ht="20" customHeight="1" x14ac:dyDescent="0.35">
      <c r="B40" t="s">
        <v>156</v>
      </c>
    </row>
    <row r="41" spans="2:2" ht="20" customHeight="1" x14ac:dyDescent="0.35">
      <c r="B41" t="s">
        <v>156</v>
      </c>
    </row>
    <row r="42" spans="2:2" ht="20" customHeight="1" x14ac:dyDescent="0.35">
      <c r="B42" t="s">
        <v>156</v>
      </c>
    </row>
    <row r="43" spans="2:2" ht="20" customHeight="1" x14ac:dyDescent="0.35">
      <c r="B43" t="s">
        <v>156</v>
      </c>
    </row>
    <row r="44" spans="2:2" ht="20" customHeight="1" x14ac:dyDescent="0.35">
      <c r="B44" t="s">
        <v>156</v>
      </c>
    </row>
    <row r="45" spans="2:2" ht="20" customHeight="1" x14ac:dyDescent="0.35">
      <c r="B45" t="s">
        <v>156</v>
      </c>
    </row>
    <row r="46" spans="2:2" ht="20" customHeight="1" x14ac:dyDescent="0.35">
      <c r="B46" t="s">
        <v>156</v>
      </c>
    </row>
    <row r="47" spans="2:2" ht="20" customHeight="1" x14ac:dyDescent="0.35"/>
    <row r="48" spans="2:2" ht="20" customHeight="1" x14ac:dyDescent="0.35">
      <c r="B48" t="s">
        <v>156</v>
      </c>
    </row>
    <row r="49" spans="2:2" ht="20" customHeight="1" x14ac:dyDescent="0.35">
      <c r="B49" t="s">
        <v>156</v>
      </c>
    </row>
    <row r="50" spans="2:2" ht="20" customHeight="1" x14ac:dyDescent="0.35">
      <c r="B50" t="s">
        <v>156</v>
      </c>
    </row>
    <row r="51" spans="2:2" ht="20" customHeight="1" x14ac:dyDescent="0.35">
      <c r="B51" t="s">
        <v>156</v>
      </c>
    </row>
    <row r="52" spans="2:2" ht="20" customHeight="1" x14ac:dyDescent="0.35">
      <c r="B52" t="s">
        <v>156</v>
      </c>
    </row>
    <row r="53" spans="2:2" ht="20" customHeight="1" x14ac:dyDescent="0.35">
      <c r="B53" t="s">
        <v>156</v>
      </c>
    </row>
    <row r="54" spans="2:2" ht="20" customHeight="1" x14ac:dyDescent="0.35">
      <c r="B54" t="s">
        <v>156</v>
      </c>
    </row>
    <row r="55" spans="2:2" ht="20" customHeight="1" x14ac:dyDescent="0.35">
      <c r="B55" t="s">
        <v>156</v>
      </c>
    </row>
    <row r="56" spans="2:2" ht="20" customHeight="1" x14ac:dyDescent="0.35">
      <c r="B56" t="s">
        <v>156</v>
      </c>
    </row>
    <row r="57" spans="2:2" ht="20" customHeight="1" x14ac:dyDescent="0.35">
      <c r="B57" t="s">
        <v>156</v>
      </c>
    </row>
    <row r="58" spans="2:2" ht="20" customHeight="1" x14ac:dyDescent="0.35">
      <c r="B58" t="s">
        <v>156</v>
      </c>
    </row>
    <row r="59" spans="2:2" ht="20" customHeight="1" x14ac:dyDescent="0.35">
      <c r="B59" t="s">
        <v>156</v>
      </c>
    </row>
    <row r="60" spans="2:2" ht="20" customHeight="1" x14ac:dyDescent="0.35">
      <c r="B60" t="s">
        <v>156</v>
      </c>
    </row>
    <row r="61" spans="2:2" ht="20" customHeight="1" x14ac:dyDescent="0.35">
      <c r="B61" t="s">
        <v>156</v>
      </c>
    </row>
    <row r="62" spans="2:2" ht="20" customHeight="1" x14ac:dyDescent="0.35">
      <c r="B62" t="s">
        <v>156</v>
      </c>
    </row>
    <row r="63" spans="2:2" ht="20" customHeight="1" x14ac:dyDescent="0.35">
      <c r="B63" t="s">
        <v>156</v>
      </c>
    </row>
    <row r="64" spans="2:2" ht="20" customHeight="1" x14ac:dyDescent="0.35">
      <c r="B64" t="s">
        <v>156</v>
      </c>
    </row>
    <row r="65" spans="2:2" ht="20" customHeight="1" x14ac:dyDescent="0.35">
      <c r="B65" t="s">
        <v>156</v>
      </c>
    </row>
    <row r="66" spans="2:2" ht="20" customHeight="1" x14ac:dyDescent="0.35">
      <c r="B66" t="s">
        <v>156</v>
      </c>
    </row>
    <row r="67" spans="2:2" ht="20" customHeight="1" x14ac:dyDescent="0.35">
      <c r="B67" t="s">
        <v>156</v>
      </c>
    </row>
    <row r="68" spans="2:2" ht="20" customHeight="1" x14ac:dyDescent="0.35"/>
    <row r="69" spans="2:2" ht="20" customHeight="1" x14ac:dyDescent="0.35">
      <c r="B69" t="s">
        <v>156</v>
      </c>
    </row>
    <row r="70" spans="2:2" ht="20" customHeight="1" x14ac:dyDescent="0.35">
      <c r="B70" t="s">
        <v>156</v>
      </c>
    </row>
    <row r="71" spans="2:2" ht="20" customHeight="1" x14ac:dyDescent="0.35">
      <c r="B71" t="s">
        <v>156</v>
      </c>
    </row>
    <row r="72" spans="2:2" ht="20" customHeight="1" x14ac:dyDescent="0.35">
      <c r="B72" t="s">
        <v>156</v>
      </c>
    </row>
    <row r="73" spans="2:2" ht="20" customHeight="1" x14ac:dyDescent="0.35">
      <c r="B73" t="s">
        <v>156</v>
      </c>
    </row>
    <row r="74" spans="2:2" ht="20" customHeight="1" x14ac:dyDescent="0.35">
      <c r="B74" t="s">
        <v>156</v>
      </c>
    </row>
    <row r="75" spans="2:2" ht="20" customHeight="1" x14ac:dyDescent="0.35">
      <c r="B75" t="s">
        <v>156</v>
      </c>
    </row>
    <row r="76" spans="2:2" ht="20" customHeight="1" x14ac:dyDescent="0.35">
      <c r="B76" t="s">
        <v>156</v>
      </c>
    </row>
    <row r="77" spans="2:2" ht="20" customHeight="1" x14ac:dyDescent="0.35">
      <c r="B77" t="s">
        <v>156</v>
      </c>
    </row>
    <row r="78" spans="2:2" ht="20" customHeight="1" x14ac:dyDescent="0.35">
      <c r="B78" t="s">
        <v>156</v>
      </c>
    </row>
    <row r="79" spans="2:2" ht="20" customHeight="1" x14ac:dyDescent="0.35">
      <c r="B79" t="s">
        <v>156</v>
      </c>
    </row>
    <row r="80" spans="2:2" ht="20" customHeight="1" x14ac:dyDescent="0.35">
      <c r="B80" t="s">
        <v>156</v>
      </c>
    </row>
    <row r="81" spans="2:2" ht="20" customHeight="1" x14ac:dyDescent="0.35">
      <c r="B81" t="s">
        <v>156</v>
      </c>
    </row>
    <row r="82" spans="2:2" ht="20" customHeight="1" x14ac:dyDescent="0.35">
      <c r="B82" t="s">
        <v>156</v>
      </c>
    </row>
    <row r="83" spans="2:2" ht="20" customHeight="1" x14ac:dyDescent="0.35">
      <c r="B83" t="s">
        <v>156</v>
      </c>
    </row>
    <row r="84" spans="2:2" ht="20" customHeight="1" x14ac:dyDescent="0.35">
      <c r="B84" t="s">
        <v>156</v>
      </c>
    </row>
    <row r="85" spans="2:2" ht="20" customHeight="1" x14ac:dyDescent="0.35">
      <c r="B85" t="s">
        <v>156</v>
      </c>
    </row>
    <row r="86" spans="2:2" ht="20" customHeight="1" x14ac:dyDescent="0.35">
      <c r="B86" t="s">
        <v>156</v>
      </c>
    </row>
    <row r="87" spans="2:2" ht="20" customHeight="1" x14ac:dyDescent="0.35">
      <c r="B87" t="s">
        <v>156</v>
      </c>
    </row>
    <row r="88" spans="2:2" ht="20" customHeight="1" x14ac:dyDescent="0.35">
      <c r="B88" t="s">
        <v>156</v>
      </c>
    </row>
    <row r="89" spans="2:2" ht="20" customHeight="1" x14ac:dyDescent="0.35"/>
    <row r="90" spans="2:2" ht="20" customHeight="1" x14ac:dyDescent="0.35">
      <c r="B90" t="s">
        <v>156</v>
      </c>
    </row>
    <row r="91" spans="2:2" ht="20" customHeight="1" x14ac:dyDescent="0.35">
      <c r="B91" t="s">
        <v>156</v>
      </c>
    </row>
    <row r="92" spans="2:2" ht="20" customHeight="1" x14ac:dyDescent="0.35">
      <c r="B92" t="s">
        <v>156</v>
      </c>
    </row>
    <row r="93" spans="2:2" ht="20" customHeight="1" x14ac:dyDescent="0.35">
      <c r="B93" t="s">
        <v>156</v>
      </c>
    </row>
    <row r="94" spans="2:2" ht="20" customHeight="1" x14ac:dyDescent="0.35">
      <c r="B94" t="s">
        <v>156</v>
      </c>
    </row>
    <row r="95" spans="2:2" ht="20" customHeight="1" x14ac:dyDescent="0.35">
      <c r="B95" t="s">
        <v>156</v>
      </c>
    </row>
    <row r="96" spans="2:2" ht="20" customHeight="1" x14ac:dyDescent="0.35">
      <c r="B96" t="s">
        <v>156</v>
      </c>
    </row>
    <row r="97" spans="2:2" ht="20" customHeight="1" x14ac:dyDescent="0.35">
      <c r="B97" t="s">
        <v>156</v>
      </c>
    </row>
    <row r="98" spans="2:2" ht="20" customHeight="1" x14ac:dyDescent="0.35">
      <c r="B98" t="s">
        <v>156</v>
      </c>
    </row>
    <row r="99" spans="2:2" ht="20" customHeight="1" x14ac:dyDescent="0.35">
      <c r="B99" t="s">
        <v>156</v>
      </c>
    </row>
    <row r="100" spans="2:2" ht="20" customHeight="1" x14ac:dyDescent="0.35">
      <c r="B100" t="s">
        <v>156</v>
      </c>
    </row>
    <row r="101" spans="2:2" ht="20" customHeight="1" x14ac:dyDescent="0.35">
      <c r="B101" t="s">
        <v>156</v>
      </c>
    </row>
    <row r="102" spans="2:2" ht="20" customHeight="1" x14ac:dyDescent="0.35">
      <c r="B102" t="s">
        <v>156</v>
      </c>
    </row>
    <row r="103" spans="2:2" ht="20" customHeight="1" x14ac:dyDescent="0.35">
      <c r="B103" t="s">
        <v>156</v>
      </c>
    </row>
    <row r="104" spans="2:2" ht="20" customHeight="1" x14ac:dyDescent="0.35">
      <c r="B104" t="s">
        <v>156</v>
      </c>
    </row>
    <row r="105" spans="2:2" ht="20" customHeight="1" x14ac:dyDescent="0.35">
      <c r="B105" t="s">
        <v>156</v>
      </c>
    </row>
    <row r="106" spans="2:2" ht="20" customHeight="1" x14ac:dyDescent="0.35">
      <c r="B106" t="s">
        <v>156</v>
      </c>
    </row>
    <row r="107" spans="2:2" ht="20" customHeight="1" x14ac:dyDescent="0.35">
      <c r="B107" t="s">
        <v>156</v>
      </c>
    </row>
    <row r="108" spans="2:2" ht="20" customHeight="1" x14ac:dyDescent="0.35">
      <c r="B108" t="s">
        <v>156</v>
      </c>
    </row>
    <row r="109" spans="2:2" ht="20" customHeight="1" x14ac:dyDescent="0.35">
      <c r="B109" t="s">
        <v>156</v>
      </c>
    </row>
    <row r="110" spans="2:2" ht="20" customHeight="1" x14ac:dyDescent="0.35"/>
    <row r="111" spans="2:2" ht="20" customHeight="1" x14ac:dyDescent="0.35">
      <c r="B111" t="s">
        <v>156</v>
      </c>
    </row>
    <row r="112" spans="2:2" ht="20" customHeight="1" x14ac:dyDescent="0.35">
      <c r="B112" t="s">
        <v>156</v>
      </c>
    </row>
    <row r="113" spans="2:2" ht="20" customHeight="1" x14ac:dyDescent="0.35">
      <c r="B113" t="s">
        <v>156</v>
      </c>
    </row>
    <row r="114" spans="2:2" ht="20" customHeight="1" x14ac:dyDescent="0.35">
      <c r="B114" t="s">
        <v>156</v>
      </c>
    </row>
    <row r="115" spans="2:2" ht="20" customHeight="1" x14ac:dyDescent="0.35">
      <c r="B115" t="s">
        <v>156</v>
      </c>
    </row>
    <row r="116" spans="2:2" ht="20" customHeight="1" x14ac:dyDescent="0.35">
      <c r="B116" t="s">
        <v>156</v>
      </c>
    </row>
    <row r="117" spans="2:2" ht="20" customHeight="1" x14ac:dyDescent="0.35">
      <c r="B117" t="s">
        <v>156</v>
      </c>
    </row>
    <row r="118" spans="2:2" ht="20" customHeight="1" x14ac:dyDescent="0.35">
      <c r="B118" t="s">
        <v>156</v>
      </c>
    </row>
    <row r="119" spans="2:2" ht="20" customHeight="1" x14ac:dyDescent="0.35">
      <c r="B119" t="s">
        <v>156</v>
      </c>
    </row>
    <row r="120" spans="2:2" ht="20" customHeight="1" x14ac:dyDescent="0.35">
      <c r="B120" t="s">
        <v>156</v>
      </c>
    </row>
    <row r="121" spans="2:2" ht="20" customHeight="1" x14ac:dyDescent="0.35">
      <c r="B121" t="s">
        <v>156</v>
      </c>
    </row>
    <row r="122" spans="2:2" ht="20" customHeight="1" x14ac:dyDescent="0.35">
      <c r="B122" t="s">
        <v>156</v>
      </c>
    </row>
    <row r="123" spans="2:2" ht="20" customHeight="1" x14ac:dyDescent="0.35">
      <c r="B123" t="s">
        <v>156</v>
      </c>
    </row>
    <row r="124" spans="2:2" ht="20" customHeight="1" x14ac:dyDescent="0.35">
      <c r="B124" t="s">
        <v>156</v>
      </c>
    </row>
    <row r="125" spans="2:2" ht="20" customHeight="1" x14ac:dyDescent="0.35">
      <c r="B125" t="s">
        <v>156</v>
      </c>
    </row>
    <row r="126" spans="2:2" ht="20" customHeight="1" x14ac:dyDescent="0.35">
      <c r="B126" t="s">
        <v>156</v>
      </c>
    </row>
    <row r="127" spans="2:2" ht="20" customHeight="1" x14ac:dyDescent="0.35">
      <c r="B127" t="s">
        <v>156</v>
      </c>
    </row>
    <row r="128" spans="2:2" ht="20" customHeight="1" x14ac:dyDescent="0.35">
      <c r="B128" t="s">
        <v>156</v>
      </c>
    </row>
    <row r="129" spans="2:2" ht="20" customHeight="1" x14ac:dyDescent="0.35">
      <c r="B129" t="s">
        <v>156</v>
      </c>
    </row>
    <row r="130" spans="2:2" ht="20" customHeight="1" x14ac:dyDescent="0.35">
      <c r="B130" t="s">
        <v>156</v>
      </c>
    </row>
    <row r="131" spans="2:2" ht="20" customHeight="1" x14ac:dyDescent="0.35"/>
    <row r="132" spans="2:2" ht="20" customHeight="1" x14ac:dyDescent="0.35">
      <c r="B132" t="s">
        <v>156</v>
      </c>
    </row>
    <row r="133" spans="2:2" ht="20" customHeight="1" x14ac:dyDescent="0.35">
      <c r="B133" t="s">
        <v>156</v>
      </c>
    </row>
    <row r="134" spans="2:2" ht="20" customHeight="1" x14ac:dyDescent="0.35">
      <c r="B134" t="s">
        <v>156</v>
      </c>
    </row>
    <row r="135" spans="2:2" ht="20" customHeight="1" x14ac:dyDescent="0.35">
      <c r="B135" t="s">
        <v>156</v>
      </c>
    </row>
    <row r="136" spans="2:2" ht="20" customHeight="1" x14ac:dyDescent="0.35">
      <c r="B136" t="s">
        <v>156</v>
      </c>
    </row>
    <row r="137" spans="2:2" ht="20" customHeight="1" x14ac:dyDescent="0.35">
      <c r="B137" t="s">
        <v>156</v>
      </c>
    </row>
    <row r="138" spans="2:2" ht="20" customHeight="1" x14ac:dyDescent="0.35">
      <c r="B138" t="s">
        <v>156</v>
      </c>
    </row>
    <row r="139" spans="2:2" ht="20" customHeight="1" x14ac:dyDescent="0.35">
      <c r="B139" t="s">
        <v>156</v>
      </c>
    </row>
    <row r="140" spans="2:2" ht="20" customHeight="1" x14ac:dyDescent="0.35">
      <c r="B140" t="s">
        <v>156</v>
      </c>
    </row>
    <row r="141" spans="2:2" ht="20" customHeight="1" x14ac:dyDescent="0.35">
      <c r="B141" t="s">
        <v>156</v>
      </c>
    </row>
    <row r="142" spans="2:2" ht="20" customHeight="1" x14ac:dyDescent="0.35">
      <c r="B142" t="s">
        <v>156</v>
      </c>
    </row>
    <row r="143" spans="2:2" ht="20" customHeight="1" x14ac:dyDescent="0.35">
      <c r="B143" t="s">
        <v>156</v>
      </c>
    </row>
    <row r="144" spans="2:2" ht="20" customHeight="1" x14ac:dyDescent="0.35">
      <c r="B144" t="s">
        <v>156</v>
      </c>
    </row>
    <row r="145" spans="2:2" ht="20" customHeight="1" x14ac:dyDescent="0.35">
      <c r="B145" t="s">
        <v>156</v>
      </c>
    </row>
    <row r="146" spans="2:2" ht="20" customHeight="1" x14ac:dyDescent="0.35">
      <c r="B146" t="s">
        <v>156</v>
      </c>
    </row>
    <row r="147" spans="2:2" ht="20" customHeight="1" x14ac:dyDescent="0.35">
      <c r="B147" t="s">
        <v>156</v>
      </c>
    </row>
    <row r="148" spans="2:2" ht="20" customHeight="1" x14ac:dyDescent="0.35">
      <c r="B148" t="s">
        <v>156</v>
      </c>
    </row>
    <row r="149" spans="2:2" ht="20" customHeight="1" x14ac:dyDescent="0.35">
      <c r="B149" t="s">
        <v>156</v>
      </c>
    </row>
    <row r="150" spans="2:2" ht="20" customHeight="1" x14ac:dyDescent="0.35">
      <c r="B150" t="s">
        <v>156</v>
      </c>
    </row>
    <row r="151" spans="2:2" ht="20" customHeight="1" x14ac:dyDescent="0.35">
      <c r="B151" t="s">
        <v>156</v>
      </c>
    </row>
    <row r="152" spans="2:2" ht="20" customHeight="1" x14ac:dyDescent="0.35"/>
    <row r="153" spans="2:2" ht="20" customHeight="1" x14ac:dyDescent="0.35">
      <c r="B153" t="s">
        <v>156</v>
      </c>
    </row>
    <row r="154" spans="2:2" ht="20" customHeight="1" x14ac:dyDescent="0.35">
      <c r="B154" t="s">
        <v>156</v>
      </c>
    </row>
    <row r="155" spans="2:2" ht="20" customHeight="1" x14ac:dyDescent="0.35">
      <c r="B155" t="s">
        <v>156</v>
      </c>
    </row>
    <row r="156" spans="2:2" ht="20" customHeight="1" x14ac:dyDescent="0.35">
      <c r="B156" t="s">
        <v>156</v>
      </c>
    </row>
    <row r="157" spans="2:2" ht="20" customHeight="1" x14ac:dyDescent="0.35">
      <c r="B157" t="s">
        <v>156</v>
      </c>
    </row>
    <row r="158" spans="2:2" ht="20" customHeight="1" x14ac:dyDescent="0.35">
      <c r="B158" t="s">
        <v>156</v>
      </c>
    </row>
    <row r="159" spans="2:2" ht="20" customHeight="1" x14ac:dyDescent="0.35">
      <c r="B159" t="s">
        <v>156</v>
      </c>
    </row>
    <row r="160" spans="2:2" ht="20" customHeight="1" x14ac:dyDescent="0.35">
      <c r="B160" t="s">
        <v>156</v>
      </c>
    </row>
    <row r="161" spans="2:2" ht="20" customHeight="1" x14ac:dyDescent="0.35">
      <c r="B161" t="s">
        <v>156</v>
      </c>
    </row>
    <row r="162" spans="2:2" ht="20" customHeight="1" x14ac:dyDescent="0.35">
      <c r="B162" t="s">
        <v>156</v>
      </c>
    </row>
    <row r="163" spans="2:2" ht="20" customHeight="1" x14ac:dyDescent="0.35">
      <c r="B163" t="s">
        <v>156</v>
      </c>
    </row>
    <row r="164" spans="2:2" ht="20" customHeight="1" x14ac:dyDescent="0.35">
      <c r="B164" t="s">
        <v>156</v>
      </c>
    </row>
    <row r="165" spans="2:2" ht="20" customHeight="1" x14ac:dyDescent="0.35">
      <c r="B165" t="s">
        <v>156</v>
      </c>
    </row>
    <row r="166" spans="2:2" ht="20" customHeight="1" x14ac:dyDescent="0.35">
      <c r="B166" t="s">
        <v>156</v>
      </c>
    </row>
    <row r="167" spans="2:2" ht="20" customHeight="1" x14ac:dyDescent="0.35">
      <c r="B167" t="s">
        <v>156</v>
      </c>
    </row>
    <row r="168" spans="2:2" ht="20" customHeight="1" x14ac:dyDescent="0.35">
      <c r="B168" t="s">
        <v>156</v>
      </c>
    </row>
    <row r="169" spans="2:2" ht="20" customHeight="1" x14ac:dyDescent="0.35">
      <c r="B169" t="s">
        <v>156</v>
      </c>
    </row>
    <row r="170" spans="2:2" ht="20" customHeight="1" x14ac:dyDescent="0.35">
      <c r="B170" t="s">
        <v>156</v>
      </c>
    </row>
    <row r="171" spans="2:2" ht="20" customHeight="1" x14ac:dyDescent="0.35">
      <c r="B171" t="s">
        <v>156</v>
      </c>
    </row>
    <row r="172" spans="2:2" ht="20" customHeight="1" x14ac:dyDescent="0.35">
      <c r="B172" t="s">
        <v>156</v>
      </c>
    </row>
    <row r="173" spans="2:2" ht="20" customHeight="1" x14ac:dyDescent="0.35"/>
    <row r="174" spans="2:2" ht="20" customHeight="1" x14ac:dyDescent="0.35">
      <c r="B174" t="s">
        <v>156</v>
      </c>
    </row>
    <row r="175" spans="2:2" ht="20" customHeight="1" x14ac:dyDescent="0.35">
      <c r="B175" t="s">
        <v>156</v>
      </c>
    </row>
    <row r="176" spans="2:2" ht="20" customHeight="1" x14ac:dyDescent="0.35">
      <c r="B176" t="s">
        <v>156</v>
      </c>
    </row>
    <row r="177" spans="2:2" ht="20" customHeight="1" x14ac:dyDescent="0.35">
      <c r="B177" t="s">
        <v>156</v>
      </c>
    </row>
    <row r="178" spans="2:2" ht="20" customHeight="1" x14ac:dyDescent="0.35">
      <c r="B178" t="s">
        <v>156</v>
      </c>
    </row>
    <row r="179" spans="2:2" ht="20" customHeight="1" x14ac:dyDescent="0.35">
      <c r="B179" t="s">
        <v>156</v>
      </c>
    </row>
    <row r="180" spans="2:2" ht="20" customHeight="1" x14ac:dyDescent="0.35">
      <c r="B180" t="s">
        <v>156</v>
      </c>
    </row>
    <row r="181" spans="2:2" ht="20" customHeight="1" x14ac:dyDescent="0.35">
      <c r="B181" t="s">
        <v>156</v>
      </c>
    </row>
    <row r="182" spans="2:2" ht="20" customHeight="1" x14ac:dyDescent="0.35">
      <c r="B182" t="s">
        <v>156</v>
      </c>
    </row>
    <row r="183" spans="2:2" ht="20" customHeight="1" x14ac:dyDescent="0.35">
      <c r="B183" t="s">
        <v>156</v>
      </c>
    </row>
    <row r="184" spans="2:2" ht="20" customHeight="1" x14ac:dyDescent="0.35">
      <c r="B184" t="s">
        <v>156</v>
      </c>
    </row>
    <row r="185" spans="2:2" ht="20" customHeight="1" x14ac:dyDescent="0.35">
      <c r="B185" t="s">
        <v>156</v>
      </c>
    </row>
    <row r="186" spans="2:2" ht="20" customHeight="1" x14ac:dyDescent="0.35">
      <c r="B186" t="s">
        <v>156</v>
      </c>
    </row>
    <row r="187" spans="2:2" ht="20" customHeight="1" x14ac:dyDescent="0.35">
      <c r="B187" t="s">
        <v>156</v>
      </c>
    </row>
    <row r="188" spans="2:2" ht="20" customHeight="1" x14ac:dyDescent="0.35">
      <c r="B188" t="s">
        <v>156</v>
      </c>
    </row>
    <row r="189" spans="2:2" ht="20" customHeight="1" x14ac:dyDescent="0.35">
      <c r="B189" t="s">
        <v>156</v>
      </c>
    </row>
    <row r="190" spans="2:2" ht="20" customHeight="1" x14ac:dyDescent="0.35">
      <c r="B190" t="s">
        <v>156</v>
      </c>
    </row>
    <row r="191" spans="2:2" ht="20" customHeight="1" x14ac:dyDescent="0.35">
      <c r="B191" t="s">
        <v>156</v>
      </c>
    </row>
    <row r="192" spans="2:2" ht="20" customHeight="1" x14ac:dyDescent="0.35">
      <c r="B192" t="s">
        <v>156</v>
      </c>
    </row>
    <row r="193" spans="2:2" ht="20" customHeight="1" x14ac:dyDescent="0.35">
      <c r="B193" t="s">
        <v>156</v>
      </c>
    </row>
  </sheetData>
  <mergeCells count="3">
    <mergeCell ref="B1:U1"/>
    <mergeCell ref="B2:U2"/>
    <mergeCell ref="B3:U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Navigation</vt:lpstr>
      <vt:lpstr>Complete</vt:lpstr>
      <vt:lpstr>Complete 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 Yandi Rahman</cp:lastModifiedBy>
  <dcterms:created xsi:type="dcterms:W3CDTF">2024-04-30T13:38:13Z</dcterms:created>
  <dcterms:modified xsi:type="dcterms:W3CDTF">2024-04-30T14:01:47Z</dcterms:modified>
</cp:coreProperties>
</file>